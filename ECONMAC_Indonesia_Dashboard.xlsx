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oshi/Local Code/ECONMAC-dashboard/"/>
    </mc:Choice>
  </mc:AlternateContent>
  <xr:revisionPtr revIDLastSave="0" documentId="13_ncr:1_{504ABEE7-55DB-D64A-84C3-56B1FE67CC0B}" xr6:coauthVersionLast="47" xr6:coauthVersionMax="47" xr10:uidLastSave="{00000000-0000-0000-0000-000000000000}"/>
  <bookViews>
    <workbookView xWindow="-38200" yWindow="820" windowWidth="38000" windowHeight="20560" tabRatio="500" xr2:uid="{00000000-000D-0000-FFFF-FFFF00000000}"/>
  </bookViews>
  <sheets>
    <sheet name="Raw Data" sheetId="1" r:id="rId1"/>
    <sheet name="Clean Data" sheetId="2" r:id="rId2"/>
    <sheet name="Growth Rates" sheetId="3" r:id="rId3"/>
    <sheet name="Expenditure Shares" sheetId="4" r:id="rId4"/>
    <sheet name="Contributions" sheetId="5" r:id="rId5"/>
    <sheet name="Correlations" sheetId="6" r:id="rId6"/>
    <sheet name="Welfare Indicators" sheetId="7" r:id="rId7"/>
    <sheet name="Dashboard" sheetId="8" r:id="rId8"/>
    <sheet name="Not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6" i="2" l="1"/>
  <c r="G106" i="2"/>
  <c r="F106" i="2"/>
  <c r="E106" i="2"/>
  <c r="D106" i="2"/>
  <c r="C106" i="2"/>
  <c r="B106" i="2"/>
  <c r="A106" i="2"/>
  <c r="A106" i="3" s="1"/>
  <c r="H105" i="2"/>
  <c r="G105" i="2"/>
  <c r="F105" i="2"/>
  <c r="E105" i="2"/>
  <c r="D105" i="2"/>
  <c r="C105" i="2"/>
  <c r="B105" i="2"/>
  <c r="A105" i="2"/>
  <c r="A105" i="3" s="1"/>
  <c r="H104" i="2"/>
  <c r="G104" i="2"/>
  <c r="F104" i="2"/>
  <c r="E104" i="2"/>
  <c r="D104" i="2"/>
  <c r="C104" i="2"/>
  <c r="B104" i="4" s="1"/>
  <c r="B104" i="2"/>
  <c r="A104" i="2"/>
  <c r="A104" i="4" s="1"/>
  <c r="H103" i="2"/>
  <c r="G103" i="2"/>
  <c r="F103" i="2"/>
  <c r="E103" i="2"/>
  <c r="D103" i="2"/>
  <c r="C103" i="2"/>
  <c r="B103" i="2"/>
  <c r="A103" i="2"/>
  <c r="A103" i="4" s="1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A101" i="4" s="1"/>
  <c r="H100" i="2"/>
  <c r="G100" i="2"/>
  <c r="F100" i="2"/>
  <c r="E100" i="2"/>
  <c r="E100" i="3" s="1"/>
  <c r="D100" i="2"/>
  <c r="C100" i="2"/>
  <c r="B100" i="2"/>
  <c r="A100" i="2"/>
  <c r="A100" i="3" s="1"/>
  <c r="H99" i="2"/>
  <c r="G99" i="2"/>
  <c r="F99" i="2"/>
  <c r="E99" i="2"/>
  <c r="D99" i="2"/>
  <c r="C99" i="2"/>
  <c r="B99" i="2"/>
  <c r="A99" i="2"/>
  <c r="A99" i="3" s="1"/>
  <c r="H98" i="2"/>
  <c r="G98" i="2"/>
  <c r="G98" i="3" s="1"/>
  <c r="F98" i="2"/>
  <c r="E98" i="2"/>
  <c r="D98" i="2"/>
  <c r="C98" i="2"/>
  <c r="B98" i="2"/>
  <c r="A98" i="2"/>
  <c r="A98" i="3" s="1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4" s="1"/>
  <c r="B96" i="2"/>
  <c r="A96" i="2"/>
  <c r="H95" i="2"/>
  <c r="G95" i="2"/>
  <c r="F95" i="2"/>
  <c r="E95" i="2"/>
  <c r="E95" i="3" s="1"/>
  <c r="D95" i="2"/>
  <c r="C95" i="2"/>
  <c r="B95" i="2"/>
  <c r="A95" i="2"/>
  <c r="A95" i="4" s="1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A93" i="4" s="1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C91" i="3" s="1"/>
  <c r="B91" i="2"/>
  <c r="B95" i="3" s="1"/>
  <c r="A91" i="2"/>
  <c r="H90" i="2"/>
  <c r="G90" i="2"/>
  <c r="F90" i="2"/>
  <c r="E90" i="2"/>
  <c r="D90" i="2"/>
  <c r="C90" i="2"/>
  <c r="B90" i="2"/>
  <c r="A90" i="2"/>
  <c r="A90" i="5" s="1"/>
  <c r="H89" i="2"/>
  <c r="G89" i="2"/>
  <c r="F89" i="2"/>
  <c r="E89" i="2"/>
  <c r="D89" i="2"/>
  <c r="D89" i="3" s="1"/>
  <c r="C89" i="2"/>
  <c r="B89" i="2"/>
  <c r="A89" i="2"/>
  <c r="H88" i="2"/>
  <c r="G88" i="2"/>
  <c r="F88" i="2"/>
  <c r="E88" i="2"/>
  <c r="D88" i="2"/>
  <c r="C88" i="2"/>
  <c r="B88" i="2"/>
  <c r="A88" i="2"/>
  <c r="A88" i="5" s="1"/>
  <c r="H87" i="2"/>
  <c r="G87" i="2"/>
  <c r="F87" i="2"/>
  <c r="E87" i="2"/>
  <c r="E87" i="3" s="1"/>
  <c r="D87" i="2"/>
  <c r="C87" i="2"/>
  <c r="B87" i="2"/>
  <c r="A87" i="2"/>
  <c r="H86" i="2"/>
  <c r="G86" i="2"/>
  <c r="F86" i="2"/>
  <c r="E86" i="2"/>
  <c r="D86" i="2"/>
  <c r="C86" i="2"/>
  <c r="C86" i="3" s="1"/>
  <c r="B86" i="2"/>
  <c r="A86" i="2"/>
  <c r="A86" i="3" s="1"/>
  <c r="H85" i="2"/>
  <c r="G85" i="2"/>
  <c r="F85" i="2"/>
  <c r="E85" i="2"/>
  <c r="D85" i="2"/>
  <c r="C85" i="2"/>
  <c r="B85" i="2"/>
  <c r="A85" i="2"/>
  <c r="A85" i="4" s="1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C81" i="3" s="1"/>
  <c r="B81" i="2"/>
  <c r="A81" i="2"/>
  <c r="H80" i="2"/>
  <c r="G80" i="2"/>
  <c r="F80" i="2"/>
  <c r="E80" i="2"/>
  <c r="D80" i="4" s="1"/>
  <c r="D80" i="2"/>
  <c r="C80" i="2"/>
  <c r="B80" i="2"/>
  <c r="A80" i="2"/>
  <c r="A80" i="5" s="1"/>
  <c r="H79" i="2"/>
  <c r="G79" i="2"/>
  <c r="F79" i="4" s="1"/>
  <c r="F79" i="2"/>
  <c r="E79" i="2"/>
  <c r="D79" i="2"/>
  <c r="C79" i="2"/>
  <c r="B79" i="2"/>
  <c r="A79" i="2"/>
  <c r="A79" i="3" s="1"/>
  <c r="H78" i="2"/>
  <c r="G78" i="2"/>
  <c r="G78" i="3" s="1"/>
  <c r="F78" i="2"/>
  <c r="E78" i="2"/>
  <c r="D78" i="2"/>
  <c r="C78" i="2"/>
  <c r="B78" i="2"/>
  <c r="A78" i="2"/>
  <c r="A78" i="4" s="1"/>
  <c r="H77" i="2"/>
  <c r="G77" i="2"/>
  <c r="F77" i="2"/>
  <c r="E77" i="2"/>
  <c r="E77" i="3" s="1"/>
  <c r="D77" i="2"/>
  <c r="C77" i="2"/>
  <c r="B77" i="2"/>
  <c r="A77" i="2"/>
  <c r="H76" i="2"/>
  <c r="G76" i="2"/>
  <c r="F76" i="2"/>
  <c r="E76" i="2"/>
  <c r="D76" i="2"/>
  <c r="C76" i="2"/>
  <c r="B76" i="2"/>
  <c r="A76" i="2"/>
  <c r="A76" i="3" s="1"/>
  <c r="H75" i="2"/>
  <c r="G75" i="2"/>
  <c r="F75" i="2"/>
  <c r="E75" i="2"/>
  <c r="E75" i="3" s="1"/>
  <c r="D75" i="2"/>
  <c r="C75" i="2"/>
  <c r="B75" i="2"/>
  <c r="B79" i="3" s="1"/>
  <c r="A75" i="2"/>
  <c r="A75" i="3" s="1"/>
  <c r="H74" i="2"/>
  <c r="G74" i="2"/>
  <c r="F74" i="2"/>
  <c r="E74" i="2"/>
  <c r="D74" i="2"/>
  <c r="C74" i="2"/>
  <c r="B74" i="4" s="1"/>
  <c r="B74" i="2"/>
  <c r="A74" i="2"/>
  <c r="A74" i="4" s="1"/>
  <c r="H73" i="2"/>
  <c r="G73" i="2"/>
  <c r="F73" i="2"/>
  <c r="E73" i="2"/>
  <c r="D73" i="2"/>
  <c r="C73" i="2"/>
  <c r="B73" i="2"/>
  <c r="B73" i="3" s="1"/>
  <c r="A73" i="2"/>
  <c r="A73" i="7" s="1"/>
  <c r="H72" i="2"/>
  <c r="G72" i="2"/>
  <c r="F72" i="2"/>
  <c r="E72" i="2"/>
  <c r="D72" i="2"/>
  <c r="C72" i="2"/>
  <c r="C72" i="7" s="1"/>
  <c r="B72" i="2"/>
  <c r="B72" i="7" s="1"/>
  <c r="A72" i="2"/>
  <c r="H71" i="2"/>
  <c r="G71" i="2"/>
  <c r="F71" i="2"/>
  <c r="E71" i="2"/>
  <c r="D71" i="2"/>
  <c r="C71" i="2"/>
  <c r="B71" i="2"/>
  <c r="A71" i="2"/>
  <c r="A71" i="4" s="1"/>
  <c r="H70" i="2"/>
  <c r="G70" i="2"/>
  <c r="F70" i="2"/>
  <c r="E70" i="2"/>
  <c r="D70" i="2"/>
  <c r="C70" i="2"/>
  <c r="B70" i="2"/>
  <c r="A70" i="2"/>
  <c r="A70" i="5" s="1"/>
  <c r="H69" i="2"/>
  <c r="G69" i="2"/>
  <c r="F69" i="2"/>
  <c r="E69" i="2"/>
  <c r="D69" i="4" s="1"/>
  <c r="D69" i="2"/>
  <c r="C69" i="2"/>
  <c r="B69" i="2"/>
  <c r="A69" i="2"/>
  <c r="H68" i="2"/>
  <c r="G68" i="2"/>
  <c r="F68" i="2"/>
  <c r="E68" i="2"/>
  <c r="D68" i="2"/>
  <c r="C68" i="2"/>
  <c r="B68" i="2"/>
  <c r="A68" i="2"/>
  <c r="A68" i="3" s="1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D70" i="3" s="1"/>
  <c r="C66" i="2"/>
  <c r="B70" i="5" s="1"/>
  <c r="B66" i="2"/>
  <c r="A66" i="2"/>
  <c r="A66" i="3" s="1"/>
  <c r="H65" i="2"/>
  <c r="G65" i="2"/>
  <c r="F65" i="2"/>
  <c r="E65" i="2"/>
  <c r="D65" i="2"/>
  <c r="C65" i="2"/>
  <c r="B65" i="2"/>
  <c r="A65" i="2"/>
  <c r="H64" i="2"/>
  <c r="G64" i="2"/>
  <c r="F64" i="4" s="1"/>
  <c r="F64" i="2"/>
  <c r="E64" i="2"/>
  <c r="D64" i="2"/>
  <c r="C64" i="2"/>
  <c r="C64" i="3" s="1"/>
  <c r="B64" i="2"/>
  <c r="A64" i="2"/>
  <c r="A64" i="4" s="1"/>
  <c r="H63" i="2"/>
  <c r="G63" i="2"/>
  <c r="F63" i="2"/>
  <c r="E63" i="2"/>
  <c r="D63" i="2"/>
  <c r="C63" i="2"/>
  <c r="B63" i="2"/>
  <c r="A63" i="2"/>
  <c r="A63" i="3" s="1"/>
  <c r="H62" i="2"/>
  <c r="G62" i="2"/>
  <c r="F62" i="2"/>
  <c r="F62" i="3" s="1"/>
  <c r="E62" i="2"/>
  <c r="E66" i="3" s="1"/>
  <c r="D62" i="2"/>
  <c r="C62" i="2"/>
  <c r="B62" i="2"/>
  <c r="A62" i="2"/>
  <c r="H61" i="2"/>
  <c r="G61" i="2"/>
  <c r="F61" i="2"/>
  <c r="E61" i="2"/>
  <c r="D61" i="2"/>
  <c r="D61" i="3" s="1"/>
  <c r="C61" i="2"/>
  <c r="C61" i="3" s="1"/>
  <c r="B61" i="2"/>
  <c r="A61" i="2"/>
  <c r="H60" i="2"/>
  <c r="G60" i="2"/>
  <c r="F60" i="2"/>
  <c r="E60" i="2"/>
  <c r="E60" i="3" s="1"/>
  <c r="D60" i="2"/>
  <c r="C60" i="2"/>
  <c r="B60" i="2"/>
  <c r="A60" i="2"/>
  <c r="H59" i="2"/>
  <c r="G59" i="2"/>
  <c r="F59" i="4" s="1"/>
  <c r="F59" i="2"/>
  <c r="E59" i="2"/>
  <c r="D59" i="2"/>
  <c r="C59" i="2"/>
  <c r="C59" i="3" s="1"/>
  <c r="B59" i="2"/>
  <c r="A59" i="2"/>
  <c r="A59" i="3" s="1"/>
  <c r="H58" i="2"/>
  <c r="G58" i="2"/>
  <c r="G58" i="3" s="1"/>
  <c r="F58" i="2"/>
  <c r="E58" i="2"/>
  <c r="D58" i="2"/>
  <c r="C58" i="2"/>
  <c r="B58" i="2"/>
  <c r="A58" i="2"/>
  <c r="A58" i="7" s="1"/>
  <c r="H57" i="2"/>
  <c r="G57" i="2"/>
  <c r="F57" i="2"/>
  <c r="F57" i="3" s="1"/>
  <c r="E57" i="2"/>
  <c r="E57" i="3" s="1"/>
  <c r="D57" i="2"/>
  <c r="C57" i="2"/>
  <c r="B57" i="2"/>
  <c r="A57" i="2"/>
  <c r="H56" i="2"/>
  <c r="G56" i="2"/>
  <c r="F56" i="2"/>
  <c r="E56" i="2"/>
  <c r="D56" i="2"/>
  <c r="C56" i="2"/>
  <c r="B56" i="2"/>
  <c r="A56" i="2"/>
  <c r="A56" i="3" s="1"/>
  <c r="H55" i="2"/>
  <c r="G55" i="2"/>
  <c r="F55" i="2"/>
  <c r="E55" i="2"/>
  <c r="E55" i="3" s="1"/>
  <c r="D55" i="2"/>
  <c r="C55" i="2"/>
  <c r="B55" i="2"/>
  <c r="A55" i="2"/>
  <c r="H54" i="2"/>
  <c r="G54" i="2"/>
  <c r="F54" i="2"/>
  <c r="E54" i="2"/>
  <c r="D54" i="2"/>
  <c r="C54" i="2"/>
  <c r="C54" i="3" s="1"/>
  <c r="B54" i="2"/>
  <c r="A54" i="2"/>
  <c r="A54" i="4" s="1"/>
  <c r="H53" i="2"/>
  <c r="G53" i="2"/>
  <c r="G57" i="3" s="1"/>
  <c r="F53" i="2"/>
  <c r="E53" i="2"/>
  <c r="D53" i="2"/>
  <c r="C53" i="2"/>
  <c r="B53" i="2"/>
  <c r="A53" i="2"/>
  <c r="H52" i="2"/>
  <c r="G52" i="2"/>
  <c r="F52" i="2"/>
  <c r="F52" i="3" s="1"/>
  <c r="E52" i="2"/>
  <c r="D52" i="2"/>
  <c r="C52" i="2"/>
  <c r="B52" i="2"/>
  <c r="A52" i="2"/>
  <c r="H51" i="2"/>
  <c r="G51" i="2"/>
  <c r="F51" i="4" s="1"/>
  <c r="F51" i="2"/>
  <c r="E51" i="2"/>
  <c r="D51" i="2"/>
  <c r="C51" i="2"/>
  <c r="B51" i="2"/>
  <c r="A51" i="2"/>
  <c r="H50" i="2"/>
  <c r="G50" i="2"/>
  <c r="F50" i="2"/>
  <c r="E50" i="2"/>
  <c r="E50" i="3" s="1"/>
  <c r="D50" i="2"/>
  <c r="C50" i="2"/>
  <c r="B50" i="2"/>
  <c r="B50" i="3" s="1"/>
  <c r="A50" i="2"/>
  <c r="A50" i="3" s="1"/>
  <c r="H49" i="2"/>
  <c r="G49" i="2"/>
  <c r="F49" i="2"/>
  <c r="E49" i="2"/>
  <c r="D49" i="2"/>
  <c r="C49" i="2"/>
  <c r="B49" i="2"/>
  <c r="A49" i="2"/>
  <c r="A49" i="3" s="1"/>
  <c r="H48" i="2"/>
  <c r="G48" i="2"/>
  <c r="F48" i="5" s="1"/>
  <c r="F48" i="2"/>
  <c r="E48" i="2"/>
  <c r="D48" i="2"/>
  <c r="C48" i="2"/>
  <c r="B48" i="2"/>
  <c r="A48" i="2"/>
  <c r="A48" i="3" s="1"/>
  <c r="H47" i="2"/>
  <c r="G47" i="2"/>
  <c r="F47" i="2"/>
  <c r="E47" i="2"/>
  <c r="D47" i="2"/>
  <c r="C47" i="2"/>
  <c r="B47" i="2"/>
  <c r="A47" i="2"/>
  <c r="H46" i="2"/>
  <c r="G46" i="2"/>
  <c r="F46" i="4" s="1"/>
  <c r="F46" i="2"/>
  <c r="E46" i="2"/>
  <c r="D46" i="2"/>
  <c r="D50" i="3" s="1"/>
  <c r="C46" i="2"/>
  <c r="C50" i="3" s="1"/>
  <c r="B46" i="2"/>
  <c r="A46" i="2"/>
  <c r="H45" i="2"/>
  <c r="G45" i="2"/>
  <c r="F45" i="2"/>
  <c r="E45" i="2"/>
  <c r="E45" i="3" s="1"/>
  <c r="D45" i="2"/>
  <c r="C45" i="2"/>
  <c r="B45" i="2"/>
  <c r="B49" i="5" s="1"/>
  <c r="A45" i="2"/>
  <c r="A45" i="5" s="1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A43" i="3" s="1"/>
  <c r="H42" i="2"/>
  <c r="G42" i="2"/>
  <c r="F42" i="2"/>
  <c r="E42" i="2"/>
  <c r="D42" i="2"/>
  <c r="C42" i="2"/>
  <c r="B42" i="2"/>
  <c r="A42" i="2"/>
  <c r="H41" i="2"/>
  <c r="G41" i="2"/>
  <c r="G41" i="3" s="1"/>
  <c r="F41" i="2"/>
  <c r="E41" i="2"/>
  <c r="D41" i="2"/>
  <c r="C41" i="4" s="1"/>
  <c r="C41" i="2"/>
  <c r="B41" i="2"/>
  <c r="A41" i="2"/>
  <c r="H40" i="2"/>
  <c r="G40" i="2"/>
  <c r="F40" i="2"/>
  <c r="E40" i="2"/>
  <c r="D40" i="2"/>
  <c r="C40" i="2"/>
  <c r="B40" i="2"/>
  <c r="B40" i="3" s="1"/>
  <c r="A40" i="2"/>
  <c r="A40" i="3" s="1"/>
  <c r="H39" i="2"/>
  <c r="G39" i="2"/>
  <c r="F39" i="2"/>
  <c r="E39" i="2"/>
  <c r="D39" i="2"/>
  <c r="C39" i="2"/>
  <c r="C39" i="7" s="1"/>
  <c r="B39" i="2"/>
  <c r="A39" i="2"/>
  <c r="H38" i="2"/>
  <c r="G38" i="2"/>
  <c r="G42" i="3" s="1"/>
  <c r="F38" i="2"/>
  <c r="E38" i="2"/>
  <c r="D38" i="2"/>
  <c r="C38" i="2"/>
  <c r="B38" i="2"/>
  <c r="A38" i="2"/>
  <c r="A38" i="7" s="1"/>
  <c r="H37" i="2"/>
  <c r="G37" i="2"/>
  <c r="F37" i="2"/>
  <c r="F37" i="3" s="1"/>
  <c r="E37" i="2"/>
  <c r="E37" i="3" s="1"/>
  <c r="D37" i="2"/>
  <c r="C37" i="2"/>
  <c r="B37" i="2"/>
  <c r="A37" i="2"/>
  <c r="H36" i="2"/>
  <c r="G36" i="2"/>
  <c r="F36" i="4" s="1"/>
  <c r="F36" i="2"/>
  <c r="E36" i="2"/>
  <c r="D36" i="2"/>
  <c r="D36" i="3" s="1"/>
  <c r="C36" i="2"/>
  <c r="C36" i="3" s="1"/>
  <c r="B36" i="2"/>
  <c r="A36" i="2"/>
  <c r="H35" i="2"/>
  <c r="G35" i="2"/>
  <c r="F35" i="2"/>
  <c r="E35" i="2"/>
  <c r="D35" i="2"/>
  <c r="C35" i="2"/>
  <c r="B35" i="2"/>
  <c r="A35" i="2"/>
  <c r="A35" i="5" s="1"/>
  <c r="H34" i="2"/>
  <c r="G34" i="2"/>
  <c r="F34" i="2"/>
  <c r="E34" i="2"/>
  <c r="D34" i="2"/>
  <c r="C34" i="2"/>
  <c r="C34" i="3" s="1"/>
  <c r="B34" i="2"/>
  <c r="A34" i="2"/>
  <c r="H33" i="2"/>
  <c r="G33" i="2"/>
  <c r="F33" i="2"/>
  <c r="E33" i="2"/>
  <c r="D33" i="2"/>
  <c r="C33" i="2"/>
  <c r="B33" i="2"/>
  <c r="A33" i="2"/>
  <c r="A33" i="3" s="1"/>
  <c r="H32" i="2"/>
  <c r="G32" i="2"/>
  <c r="F32" i="2"/>
  <c r="F32" i="3" s="1"/>
  <c r="E32" i="2"/>
  <c r="D32" i="2"/>
  <c r="C32" i="2"/>
  <c r="B32" i="2"/>
  <c r="A32" i="2"/>
  <c r="H31" i="2"/>
  <c r="G31" i="2"/>
  <c r="F31" i="2"/>
  <c r="E31" i="2"/>
  <c r="D31" i="2"/>
  <c r="C31" i="4" s="1"/>
  <c r="C31" i="2"/>
  <c r="B31" i="2"/>
  <c r="A31" i="2"/>
  <c r="H30" i="2"/>
  <c r="G30" i="2"/>
  <c r="F30" i="2"/>
  <c r="E30" i="2"/>
  <c r="D30" i="2"/>
  <c r="C30" i="2"/>
  <c r="B30" i="2"/>
  <c r="A30" i="2"/>
  <c r="A30" i="3" s="1"/>
  <c r="H29" i="2"/>
  <c r="G29" i="2"/>
  <c r="F29" i="2"/>
  <c r="E29" i="2"/>
  <c r="D29" i="2"/>
  <c r="C29" i="2"/>
  <c r="B29" i="2"/>
  <c r="A29" i="2"/>
  <c r="A29" i="4" s="1"/>
  <c r="H28" i="2"/>
  <c r="G28" i="2"/>
  <c r="F28" i="2"/>
  <c r="E28" i="2"/>
  <c r="D28" i="2"/>
  <c r="C28" i="2"/>
  <c r="B28" i="2"/>
  <c r="A28" i="2"/>
  <c r="A28" i="5" s="1"/>
  <c r="H27" i="2"/>
  <c r="G27" i="2"/>
  <c r="F27" i="2"/>
  <c r="F27" i="3" s="1"/>
  <c r="E27" i="2"/>
  <c r="E27" i="3" s="1"/>
  <c r="D27" i="2"/>
  <c r="C27" i="2"/>
  <c r="B27" i="2"/>
  <c r="A27" i="2"/>
  <c r="H26" i="2"/>
  <c r="G26" i="2"/>
  <c r="F26" i="4" s="1"/>
  <c r="F26" i="2"/>
  <c r="E26" i="2"/>
  <c r="D26" i="2"/>
  <c r="D26" i="3" s="1"/>
  <c r="C26" i="2"/>
  <c r="B26" i="2"/>
  <c r="A26" i="2"/>
  <c r="H25" i="2"/>
  <c r="G25" i="2"/>
  <c r="F25" i="2"/>
  <c r="E25" i="2"/>
  <c r="D25" i="2"/>
  <c r="C25" i="2"/>
  <c r="B25" i="2"/>
  <c r="B25" i="3" s="1"/>
  <c r="A25" i="2"/>
  <c r="A25" i="3" s="1"/>
  <c r="H24" i="2"/>
  <c r="G24" i="2"/>
  <c r="F24" i="2"/>
  <c r="E24" i="2"/>
  <c r="D24" i="2"/>
  <c r="C24" i="2"/>
  <c r="B24" i="2"/>
  <c r="A24" i="2"/>
  <c r="A24" i="4" s="1"/>
  <c r="H23" i="2"/>
  <c r="G23" i="2"/>
  <c r="G27" i="3" s="1"/>
  <c r="F23" i="2"/>
  <c r="E23" i="2"/>
  <c r="D23" i="2"/>
  <c r="C23" i="2"/>
  <c r="B23" i="2"/>
  <c r="A23" i="2"/>
  <c r="A23" i="3" s="1"/>
  <c r="H22" i="2"/>
  <c r="G22" i="2"/>
  <c r="F22" i="2"/>
  <c r="F22" i="3" s="1"/>
  <c r="E22" i="2"/>
  <c r="D22" i="2"/>
  <c r="C22" i="2"/>
  <c r="B22" i="2"/>
  <c r="A22" i="2"/>
  <c r="H21" i="2"/>
  <c r="G21" i="2"/>
  <c r="F21" i="4" s="1"/>
  <c r="F21" i="2"/>
  <c r="E21" i="2"/>
  <c r="D21" i="2"/>
  <c r="C21" i="4" s="1"/>
  <c r="C21" i="2"/>
  <c r="C21" i="3" s="1"/>
  <c r="B21" i="2"/>
  <c r="A21" i="2"/>
  <c r="H20" i="2"/>
  <c r="G20" i="2"/>
  <c r="F20" i="2"/>
  <c r="E20" i="2"/>
  <c r="D20" i="2"/>
  <c r="C20" i="2"/>
  <c r="B20" i="2"/>
  <c r="B20" i="3" s="1"/>
  <c r="A20" i="2"/>
  <c r="H19" i="2"/>
  <c r="G19" i="2"/>
  <c r="F19" i="2"/>
  <c r="E19" i="2"/>
  <c r="D19" i="2"/>
  <c r="C19" i="2"/>
  <c r="B19" i="2"/>
  <c r="A19" i="2"/>
  <c r="A19" i="3" s="1"/>
  <c r="H18" i="2"/>
  <c r="G18" i="2"/>
  <c r="G18" i="3" s="1"/>
  <c r="F18" i="2"/>
  <c r="E18" i="2"/>
  <c r="D18" i="2"/>
  <c r="C18" i="2"/>
  <c r="B18" i="2"/>
  <c r="A18" i="2"/>
  <c r="A18" i="5" s="1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4" s="1"/>
  <c r="C16" i="2"/>
  <c r="B16" i="4" s="1"/>
  <c r="B16" i="2"/>
  <c r="A16" i="2"/>
  <c r="A16" i="3" s="1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G13" i="3" s="1"/>
  <c r="F13" i="2"/>
  <c r="E13" i="2"/>
  <c r="D13" i="2"/>
  <c r="C13" i="2"/>
  <c r="B13" i="2"/>
  <c r="A13" i="2"/>
  <c r="A13" i="4" s="1"/>
  <c r="H12" i="2"/>
  <c r="G12" i="2"/>
  <c r="F12" i="2"/>
  <c r="F12" i="3" s="1"/>
  <c r="E12" i="2"/>
  <c r="E12" i="3" s="1"/>
  <c r="D12" i="2"/>
  <c r="C12" i="2"/>
  <c r="B12" i="2"/>
  <c r="A12" i="2"/>
  <c r="H11" i="2"/>
  <c r="G11" i="2"/>
  <c r="F11" i="2"/>
  <c r="E11" i="2"/>
  <c r="D11" i="2"/>
  <c r="C11" i="4" s="1"/>
  <c r="C11" i="2"/>
  <c r="B15" i="5" s="1"/>
  <c r="B11" i="2"/>
  <c r="A11" i="2"/>
  <c r="A11" i="3" s="1"/>
  <c r="H10" i="2"/>
  <c r="G10" i="2"/>
  <c r="F10" i="2"/>
  <c r="E10" i="2"/>
  <c r="D10" i="2"/>
  <c r="C10" i="2"/>
  <c r="B10" i="2"/>
  <c r="B10" i="3" s="1"/>
  <c r="A10" i="2"/>
  <c r="A10" i="3" s="1"/>
  <c r="H9" i="2"/>
  <c r="G9" i="2"/>
  <c r="F9" i="2"/>
  <c r="E9" i="2"/>
  <c r="D9" i="2"/>
  <c r="C9" i="2"/>
  <c r="B9" i="2"/>
  <c r="A9" i="2"/>
  <c r="A9" i="3" s="1"/>
  <c r="H8" i="2"/>
  <c r="G8" i="2"/>
  <c r="G12" i="3" s="1"/>
  <c r="F8" i="2"/>
  <c r="E8" i="2"/>
  <c r="D8" i="2"/>
  <c r="C8" i="2"/>
  <c r="B8" i="2"/>
  <c r="A8" i="2"/>
  <c r="A8" i="7" s="1"/>
  <c r="H7" i="2"/>
  <c r="G7" i="2"/>
  <c r="F7" i="2"/>
  <c r="E7" i="2"/>
  <c r="D7" i="4" s="1"/>
  <c r="D7" i="2"/>
  <c r="C7" i="2"/>
  <c r="B7" i="2"/>
  <c r="A7" i="2"/>
  <c r="H6" i="2"/>
  <c r="G6" i="2"/>
  <c r="F6" i="2"/>
  <c r="E6" i="2"/>
  <c r="D6" i="2"/>
  <c r="C6" i="2"/>
  <c r="B10" i="5" s="1"/>
  <c r="B6" i="2"/>
  <c r="A6" i="2"/>
  <c r="A6" i="3" s="1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A4" i="7" s="1"/>
  <c r="H3" i="2"/>
  <c r="G3" i="2"/>
  <c r="F3" i="2"/>
  <c r="E3" i="2"/>
  <c r="D3" i="2"/>
  <c r="C3" i="2"/>
  <c r="B3" i="2"/>
  <c r="A3" i="2"/>
  <c r="A3" i="7" s="1"/>
  <c r="H2" i="2"/>
  <c r="G2" i="2"/>
  <c r="F2" i="2"/>
  <c r="E2" i="2"/>
  <c r="D2" i="2"/>
  <c r="C2" i="2"/>
  <c r="B2" i="2"/>
  <c r="A2" i="2"/>
  <c r="D5" i="4" l="1"/>
  <c r="F71" i="4"/>
  <c r="C84" i="7"/>
  <c r="B70" i="3"/>
  <c r="F67" i="3"/>
  <c r="F101" i="3"/>
  <c r="B93" i="3"/>
  <c r="F98" i="3"/>
  <c r="C76" i="4"/>
  <c r="D21" i="4"/>
  <c r="D51" i="4"/>
  <c r="D91" i="4"/>
  <c r="C100" i="3"/>
  <c r="D55" i="4"/>
  <c r="B14" i="7"/>
  <c r="B29" i="7"/>
  <c r="E31" i="4"/>
  <c r="B34" i="7"/>
  <c r="E36" i="4"/>
  <c r="B39" i="7"/>
  <c r="B49" i="7"/>
  <c r="B54" i="7"/>
  <c r="G101" i="3"/>
  <c r="B26" i="7"/>
  <c r="D33" i="4"/>
  <c r="B51" i="7"/>
  <c r="B61" i="7"/>
  <c r="B63" i="7"/>
  <c r="E68" i="4"/>
  <c r="B91" i="7"/>
  <c r="F105" i="3"/>
  <c r="B41" i="7"/>
  <c r="C15" i="5"/>
  <c r="G6" i="3"/>
  <c r="D25" i="4"/>
  <c r="E30" i="3"/>
  <c r="C10" i="3"/>
  <c r="D54" i="3"/>
  <c r="C20" i="3"/>
  <c r="B24" i="5"/>
  <c r="F5" i="4"/>
  <c r="F15" i="4"/>
  <c r="D39" i="4"/>
  <c r="E44" i="3"/>
  <c r="D63" i="5"/>
  <c r="G69" i="3"/>
  <c r="G80" i="3"/>
  <c r="G89" i="3"/>
  <c r="C5" i="4"/>
  <c r="F6" i="3"/>
  <c r="C10" i="5"/>
  <c r="G11" i="3"/>
  <c r="C14" i="3"/>
  <c r="B29" i="4"/>
  <c r="F3" i="4"/>
  <c r="C4" i="4"/>
  <c r="B2" i="7"/>
  <c r="E4" i="4"/>
  <c r="B5" i="7"/>
  <c r="C35" i="7"/>
  <c r="B47" i="7"/>
  <c r="C68" i="4"/>
  <c r="D77" i="3"/>
  <c r="F83" i="3"/>
  <c r="D87" i="3"/>
  <c r="A13" i="3"/>
  <c r="E5" i="4"/>
  <c r="B8" i="7"/>
  <c r="D34" i="3"/>
  <c r="D39" i="3"/>
  <c r="F49" i="4"/>
  <c r="A28" i="3"/>
  <c r="G16" i="3"/>
  <c r="D29" i="3"/>
  <c r="F39" i="4"/>
  <c r="D27" i="3"/>
  <c r="F43" i="3"/>
  <c r="A58" i="4"/>
  <c r="D60" i="4"/>
  <c r="C81" i="4"/>
  <c r="D86" i="3"/>
  <c r="F87" i="3"/>
  <c r="B90" i="3"/>
  <c r="C91" i="4"/>
  <c r="C96" i="4"/>
  <c r="B100" i="3"/>
  <c r="F102" i="3"/>
  <c r="G22" i="3"/>
  <c r="B30" i="5"/>
  <c r="E31" i="3"/>
  <c r="E36" i="3"/>
  <c r="E46" i="3"/>
  <c r="B55" i="4"/>
  <c r="B65" i="5"/>
  <c r="D76" i="4"/>
  <c r="G92" i="3"/>
  <c r="E96" i="3"/>
  <c r="D96" i="4"/>
  <c r="F16" i="3"/>
  <c r="C20" i="4"/>
  <c r="F21" i="3"/>
  <c r="F26" i="3"/>
  <c r="F41" i="3"/>
  <c r="C45" i="4"/>
  <c r="E51" i="5"/>
  <c r="C55" i="4"/>
  <c r="B59" i="7"/>
  <c r="C60" i="4"/>
  <c r="E66" i="4"/>
  <c r="C80" i="4"/>
  <c r="B84" i="3"/>
  <c r="E96" i="4"/>
  <c r="A23" i="5"/>
  <c r="D4" i="4"/>
  <c r="B43" i="4"/>
  <c r="B48" i="4"/>
  <c r="B58" i="4"/>
  <c r="D20" i="3"/>
  <c r="D20" i="4"/>
  <c r="A75" i="4"/>
  <c r="F21" i="5"/>
  <c r="C24" i="7"/>
  <c r="A28" i="7"/>
  <c r="D8" i="3"/>
  <c r="C18" i="5"/>
  <c r="F24" i="3"/>
  <c r="C43" i="4"/>
  <c r="B52" i="3"/>
  <c r="A8" i="4"/>
  <c r="D40" i="4"/>
  <c r="B60" i="4"/>
  <c r="B14" i="3"/>
  <c r="C29" i="3"/>
  <c r="G59" i="3"/>
  <c r="E80" i="3"/>
  <c r="C96" i="3"/>
  <c r="A11" i="4"/>
  <c r="B45" i="7"/>
  <c r="D21" i="3"/>
  <c r="F4" i="4"/>
  <c r="F9" i="4"/>
  <c r="C4" i="7"/>
  <c r="B45" i="3"/>
  <c r="G51" i="3"/>
  <c r="A70" i="3"/>
  <c r="A88" i="3"/>
  <c r="D96" i="3"/>
  <c r="E21" i="4"/>
  <c r="D45" i="4"/>
  <c r="A80" i="4"/>
  <c r="E97" i="3"/>
  <c r="C101" i="3"/>
  <c r="B106" i="4"/>
  <c r="D31" i="3"/>
  <c r="A38" i="3"/>
  <c r="A90" i="3"/>
  <c r="A49" i="4"/>
  <c r="B64" i="4"/>
  <c r="B101" i="4"/>
  <c r="C59" i="7"/>
  <c r="B39" i="3"/>
  <c r="G71" i="3"/>
  <c r="C106" i="3"/>
  <c r="B55" i="5"/>
  <c r="E11" i="3"/>
  <c r="D31" i="4"/>
  <c r="D41" i="4"/>
  <c r="C39" i="3"/>
  <c r="B55" i="3"/>
  <c r="C84" i="3"/>
  <c r="A3" i="4"/>
  <c r="F51" i="3"/>
  <c r="E61" i="4"/>
  <c r="B74" i="7"/>
  <c r="B79" i="7"/>
  <c r="B84" i="7"/>
  <c r="B89" i="7"/>
  <c r="F91" i="3"/>
  <c r="F99" i="4"/>
  <c r="D100" i="3"/>
  <c r="B104" i="7"/>
  <c r="D10" i="3"/>
  <c r="B75" i="3"/>
  <c r="A4" i="4"/>
  <c r="A18" i="4"/>
  <c r="C74" i="7"/>
  <c r="D10" i="4"/>
  <c r="C104" i="7"/>
  <c r="B34" i="3"/>
  <c r="E41" i="3"/>
  <c r="B49" i="3"/>
  <c r="C66" i="3"/>
  <c r="A93" i="3"/>
  <c r="B20" i="4"/>
  <c r="A90" i="4"/>
  <c r="B6" i="5"/>
  <c r="A93" i="5"/>
  <c r="F48" i="4"/>
  <c r="F92" i="5"/>
  <c r="D66" i="3"/>
  <c r="A95" i="3"/>
  <c r="B104" i="5"/>
  <c r="A90" i="7"/>
  <c r="E10" i="5"/>
  <c r="F10" i="3"/>
  <c r="E10" i="4"/>
  <c r="C19" i="5"/>
  <c r="C19" i="4"/>
  <c r="D19" i="3"/>
  <c r="E23" i="4"/>
  <c r="B23" i="3"/>
  <c r="C24" i="5"/>
  <c r="C24" i="4"/>
  <c r="D24" i="3"/>
  <c r="E35" i="5"/>
  <c r="E35" i="4"/>
  <c r="F35" i="3"/>
  <c r="E40" i="5"/>
  <c r="F40" i="3"/>
  <c r="E40" i="4"/>
  <c r="B43" i="7"/>
  <c r="B43" i="3"/>
  <c r="E43" i="4"/>
  <c r="E45" i="5"/>
  <c r="F45" i="3"/>
  <c r="E45" i="4"/>
  <c r="E50" i="5"/>
  <c r="E50" i="4"/>
  <c r="F50" i="3"/>
  <c r="E60" i="5"/>
  <c r="E60" i="4"/>
  <c r="E65" i="5"/>
  <c r="E65" i="4"/>
  <c r="F65" i="3"/>
  <c r="C74" i="5"/>
  <c r="D74" i="3"/>
  <c r="C79" i="5"/>
  <c r="C79" i="4"/>
  <c r="D79" i="3"/>
  <c r="E85" i="5"/>
  <c r="E85" i="4"/>
  <c r="F85" i="3"/>
  <c r="B103" i="7"/>
  <c r="B103" i="3"/>
  <c r="F103" i="4"/>
  <c r="C3" i="7"/>
  <c r="B3" i="4"/>
  <c r="D9" i="5"/>
  <c r="D9" i="4"/>
  <c r="E9" i="3"/>
  <c r="A12" i="5"/>
  <c r="A12" i="4"/>
  <c r="A12" i="3"/>
  <c r="A12" i="7"/>
  <c r="D14" i="5"/>
  <c r="D14" i="4"/>
  <c r="E14" i="3"/>
  <c r="A17" i="7"/>
  <c r="A17" i="5"/>
  <c r="A17" i="4"/>
  <c r="A17" i="3"/>
  <c r="B18" i="5"/>
  <c r="B18" i="4"/>
  <c r="D19" i="5"/>
  <c r="D19" i="4"/>
  <c r="E19" i="3"/>
  <c r="F20" i="4"/>
  <c r="F20" i="5"/>
  <c r="G20" i="3"/>
  <c r="A22" i="5"/>
  <c r="A22" i="7"/>
  <c r="A22" i="4"/>
  <c r="A22" i="3"/>
  <c r="D24" i="4"/>
  <c r="E24" i="3"/>
  <c r="D24" i="5"/>
  <c r="F25" i="5"/>
  <c r="F25" i="4"/>
  <c r="G25" i="3"/>
  <c r="B28" i="5"/>
  <c r="C28" i="3"/>
  <c r="B28" i="4"/>
  <c r="C28" i="7"/>
  <c r="D29" i="5"/>
  <c r="D29" i="4"/>
  <c r="A32" i="5"/>
  <c r="A32" i="7"/>
  <c r="A32" i="4"/>
  <c r="A32" i="3"/>
  <c r="C33" i="7"/>
  <c r="B33" i="5"/>
  <c r="B33" i="4"/>
  <c r="C33" i="3"/>
  <c r="D34" i="5"/>
  <c r="E34" i="3"/>
  <c r="A37" i="7"/>
  <c r="A37" i="5"/>
  <c r="A37" i="3"/>
  <c r="A37" i="4"/>
  <c r="F40" i="5"/>
  <c r="F40" i="4"/>
  <c r="G40" i="3"/>
  <c r="G44" i="3"/>
  <c r="F45" i="4"/>
  <c r="G45" i="3"/>
  <c r="F45" i="5"/>
  <c r="F49" i="5"/>
  <c r="F50" i="4"/>
  <c r="F50" i="5"/>
  <c r="G50" i="3"/>
  <c r="A57" i="7"/>
  <c r="A57" i="5"/>
  <c r="A57" i="4"/>
  <c r="A57" i="3"/>
  <c r="C63" i="7"/>
  <c r="B63" i="5"/>
  <c r="B63" i="4"/>
  <c r="B78" i="5"/>
  <c r="C78" i="7"/>
  <c r="C78" i="3"/>
  <c r="B78" i="4"/>
  <c r="C82" i="3"/>
  <c r="D84" i="5"/>
  <c r="E88" i="3"/>
  <c r="E84" i="3"/>
  <c r="D99" i="4"/>
  <c r="E99" i="3"/>
  <c r="D99" i="5"/>
  <c r="E103" i="3"/>
  <c r="B7" i="7"/>
  <c r="B7" i="3"/>
  <c r="B11" i="3"/>
  <c r="B12" i="3"/>
  <c r="B12" i="7"/>
  <c r="D12" i="4"/>
  <c r="F12" i="4"/>
  <c r="E19" i="5"/>
  <c r="E19" i="4"/>
  <c r="F19" i="3"/>
  <c r="B37" i="7"/>
  <c r="B37" i="3"/>
  <c r="E104" i="4"/>
  <c r="E104" i="5"/>
  <c r="F104" i="3"/>
  <c r="E7" i="4"/>
  <c r="B7" i="5"/>
  <c r="B18" i="7"/>
  <c r="E18" i="4"/>
  <c r="B18" i="3"/>
  <c r="E30" i="5"/>
  <c r="E30" i="4"/>
  <c r="F30" i="3"/>
  <c r="B38" i="7"/>
  <c r="B38" i="3"/>
  <c r="B58" i="7"/>
  <c r="B58" i="3"/>
  <c r="D58" i="4"/>
  <c r="C64" i="5"/>
  <c r="C64" i="4"/>
  <c r="D64" i="3"/>
  <c r="C69" i="5"/>
  <c r="C69" i="4"/>
  <c r="E70" i="5"/>
  <c r="F70" i="3"/>
  <c r="E70" i="4"/>
  <c r="E75" i="5"/>
  <c r="E75" i="4"/>
  <c r="F75" i="3"/>
  <c r="B83" i="3"/>
  <c r="E83" i="4"/>
  <c r="B83" i="7"/>
  <c r="B98" i="7"/>
  <c r="B98" i="3"/>
  <c r="E98" i="4"/>
  <c r="C104" i="5"/>
  <c r="C104" i="4"/>
  <c r="C8" i="7"/>
  <c r="B8" i="4"/>
  <c r="B8" i="5"/>
  <c r="F10" i="5"/>
  <c r="G10" i="3"/>
  <c r="C13" i="7"/>
  <c r="B13" i="5"/>
  <c r="C13" i="3"/>
  <c r="B13" i="4"/>
  <c r="C23" i="7"/>
  <c r="B23" i="5"/>
  <c r="B23" i="4"/>
  <c r="C23" i="3"/>
  <c r="F35" i="4"/>
  <c r="G35" i="3"/>
  <c r="F35" i="5"/>
  <c r="A42" i="5"/>
  <c r="A42" i="7"/>
  <c r="A42" i="4"/>
  <c r="A42" i="3"/>
  <c r="A47" i="7"/>
  <c r="A47" i="5"/>
  <c r="A47" i="4"/>
  <c r="A52" i="5"/>
  <c r="A52" i="4"/>
  <c r="A52" i="7"/>
  <c r="C53" i="7"/>
  <c r="B53" i="5"/>
  <c r="C53" i="3"/>
  <c r="C58" i="7"/>
  <c r="C58" i="3"/>
  <c r="B58" i="5"/>
  <c r="C62" i="3"/>
  <c r="F60" i="4"/>
  <c r="F60" i="5"/>
  <c r="G64" i="3"/>
  <c r="G60" i="3"/>
  <c r="D64" i="5"/>
  <c r="D64" i="4"/>
  <c r="E68" i="3"/>
  <c r="E64" i="3"/>
  <c r="A67" i="7"/>
  <c r="A67" i="5"/>
  <c r="A67" i="4"/>
  <c r="A67" i="3"/>
  <c r="B68" i="4"/>
  <c r="B68" i="5"/>
  <c r="C68" i="3"/>
  <c r="C72" i="3"/>
  <c r="C68" i="7"/>
  <c r="G70" i="3"/>
  <c r="G74" i="3"/>
  <c r="F70" i="5"/>
  <c r="F70" i="4"/>
  <c r="A72" i="5"/>
  <c r="A72" i="7"/>
  <c r="A72" i="4"/>
  <c r="C73" i="7"/>
  <c r="B73" i="5"/>
  <c r="C77" i="3"/>
  <c r="B73" i="4"/>
  <c r="C73" i="3"/>
  <c r="D74" i="4"/>
  <c r="E74" i="3"/>
  <c r="D74" i="5"/>
  <c r="A77" i="7"/>
  <c r="A77" i="5"/>
  <c r="A77" i="4"/>
  <c r="A77" i="3"/>
  <c r="D79" i="4"/>
  <c r="E79" i="3"/>
  <c r="A82" i="5"/>
  <c r="A82" i="7"/>
  <c r="A82" i="4"/>
  <c r="A82" i="3"/>
  <c r="C83" i="7"/>
  <c r="B83" i="5"/>
  <c r="C83" i="3"/>
  <c r="B83" i="4"/>
  <c r="A87" i="7"/>
  <c r="A87" i="5"/>
  <c r="A87" i="3"/>
  <c r="C88" i="3"/>
  <c r="B88" i="5"/>
  <c r="B88" i="4"/>
  <c r="C88" i="7"/>
  <c r="D89" i="5"/>
  <c r="E89" i="3"/>
  <c r="D89" i="4"/>
  <c r="E93" i="3"/>
  <c r="F90" i="5"/>
  <c r="F90" i="4"/>
  <c r="G94" i="3"/>
  <c r="G90" i="3"/>
  <c r="C93" i="7"/>
  <c r="B93" i="4"/>
  <c r="C97" i="3"/>
  <c r="C93" i="3"/>
  <c r="B93" i="5"/>
  <c r="D94" i="5"/>
  <c r="D94" i="4"/>
  <c r="E94" i="3"/>
  <c r="F95" i="4"/>
  <c r="F95" i="5"/>
  <c r="G95" i="3"/>
  <c r="A97" i="7"/>
  <c r="A97" i="5"/>
  <c r="A97" i="3"/>
  <c r="C98" i="7"/>
  <c r="B98" i="5"/>
  <c r="B98" i="4"/>
  <c r="C98" i="3"/>
  <c r="C102" i="3"/>
  <c r="F100" i="5"/>
  <c r="G100" i="3"/>
  <c r="F100" i="4"/>
  <c r="C103" i="7"/>
  <c r="B103" i="5"/>
  <c r="B103" i="4"/>
  <c r="C103" i="3"/>
  <c r="D104" i="4"/>
  <c r="D104" i="5"/>
  <c r="A72" i="3"/>
  <c r="E9" i="5"/>
  <c r="F9" i="3"/>
  <c r="E9" i="4"/>
  <c r="C13" i="4"/>
  <c r="D13" i="3"/>
  <c r="D17" i="3"/>
  <c r="E14" i="5"/>
  <c r="E14" i="4"/>
  <c r="F18" i="3"/>
  <c r="F14" i="3"/>
  <c r="B17" i="7"/>
  <c r="B17" i="3"/>
  <c r="F17" i="4"/>
  <c r="C23" i="5"/>
  <c r="C23" i="4"/>
  <c r="D23" i="3"/>
  <c r="B27" i="7"/>
  <c r="B27" i="3"/>
  <c r="E31" i="5"/>
  <c r="E29" i="5"/>
  <c r="F29" i="3"/>
  <c r="E29" i="4"/>
  <c r="F33" i="3"/>
  <c r="C33" i="5"/>
  <c r="D33" i="3"/>
  <c r="D37" i="3"/>
  <c r="C38" i="5"/>
  <c r="C38" i="4"/>
  <c r="D38" i="3"/>
  <c r="C53" i="5"/>
  <c r="C53" i="4"/>
  <c r="D53" i="3"/>
  <c r="E54" i="5"/>
  <c r="E54" i="4"/>
  <c r="F54" i="3"/>
  <c r="B57" i="7"/>
  <c r="B57" i="3"/>
  <c r="C57" i="4"/>
  <c r="C58" i="5"/>
  <c r="D58" i="3"/>
  <c r="F59" i="3"/>
  <c r="E59" i="4"/>
  <c r="E59" i="5"/>
  <c r="C63" i="4"/>
  <c r="D63" i="3"/>
  <c r="C63" i="5"/>
  <c r="E64" i="5"/>
  <c r="F64" i="3"/>
  <c r="E64" i="4"/>
  <c r="C68" i="5"/>
  <c r="D68" i="3"/>
  <c r="C78" i="5"/>
  <c r="D78" i="3"/>
  <c r="C78" i="4"/>
  <c r="B87" i="7"/>
  <c r="B87" i="3"/>
  <c r="B87" i="4"/>
  <c r="C87" i="4"/>
  <c r="B16" i="3"/>
  <c r="B72" i="3"/>
  <c r="D3" i="4"/>
  <c r="F7" i="4"/>
  <c r="F37" i="4"/>
  <c r="E7" i="5"/>
  <c r="C13" i="5"/>
  <c r="C31" i="5"/>
  <c r="B26" i="5"/>
  <c r="D56" i="5"/>
  <c r="D87" i="5"/>
  <c r="B8" i="3"/>
  <c r="C18" i="3"/>
  <c r="C57" i="3"/>
  <c r="B63" i="3"/>
  <c r="F68" i="3"/>
  <c r="F10" i="4"/>
  <c r="A97" i="4"/>
  <c r="D13" i="5"/>
  <c r="D31" i="5"/>
  <c r="D76" i="5"/>
  <c r="C18" i="7"/>
  <c r="E2" i="4"/>
  <c r="C101" i="5"/>
  <c r="C8" i="3"/>
  <c r="D18" i="3"/>
  <c r="A47" i="3"/>
  <c r="A52" i="3"/>
  <c r="D57" i="3"/>
  <c r="C63" i="3"/>
  <c r="D69" i="3"/>
  <c r="E3" i="4"/>
  <c r="B52" i="4"/>
  <c r="E63" i="4"/>
  <c r="D84" i="4"/>
  <c r="E13" i="5"/>
  <c r="C41" i="5"/>
  <c r="E76" i="5"/>
  <c r="B73" i="7"/>
  <c r="C5" i="7"/>
  <c r="F37" i="5"/>
  <c r="F87" i="4"/>
  <c r="D96" i="5"/>
  <c r="E18" i="3"/>
  <c r="G24" i="3"/>
  <c r="E29" i="3"/>
  <c r="B47" i="3"/>
  <c r="C12" i="4"/>
  <c r="C33" i="4"/>
  <c r="B53" i="4"/>
  <c r="F63" i="4"/>
  <c r="D41" i="5"/>
  <c r="D79" i="5"/>
  <c r="B3" i="7"/>
  <c r="F7" i="5"/>
  <c r="C9" i="5"/>
  <c r="D9" i="3"/>
  <c r="C9" i="4"/>
  <c r="B13" i="7"/>
  <c r="B13" i="3"/>
  <c r="C14" i="4"/>
  <c r="C14" i="5"/>
  <c r="E15" i="5"/>
  <c r="F15" i="3"/>
  <c r="E25" i="5"/>
  <c r="F25" i="3"/>
  <c r="E25" i="4"/>
  <c r="B53" i="7"/>
  <c r="B53" i="3"/>
  <c r="B78" i="7"/>
  <c r="B78" i="3"/>
  <c r="E80" i="5"/>
  <c r="E80" i="4"/>
  <c r="C84" i="5"/>
  <c r="C84" i="4"/>
  <c r="D84" i="3"/>
  <c r="B88" i="7"/>
  <c r="B88" i="3"/>
  <c r="C89" i="5"/>
  <c r="C89" i="4"/>
  <c r="E90" i="5"/>
  <c r="F90" i="3"/>
  <c r="B93" i="7"/>
  <c r="F93" i="4"/>
  <c r="E93" i="4"/>
  <c r="C94" i="5"/>
  <c r="D94" i="3"/>
  <c r="C94" i="4"/>
  <c r="E95" i="5"/>
  <c r="E95" i="4"/>
  <c r="F95" i="3"/>
  <c r="C99" i="5"/>
  <c r="D99" i="3"/>
  <c r="C99" i="4"/>
  <c r="E100" i="5"/>
  <c r="F100" i="3"/>
  <c r="E100" i="4"/>
  <c r="D14" i="3"/>
  <c r="D104" i="3"/>
  <c r="F23" i="4"/>
  <c r="E90" i="4"/>
  <c r="A27" i="7"/>
  <c r="A27" i="5"/>
  <c r="A27" i="3"/>
  <c r="A27" i="4"/>
  <c r="C38" i="7"/>
  <c r="C38" i="3"/>
  <c r="B38" i="5"/>
  <c r="B38" i="4"/>
  <c r="C43" i="7"/>
  <c r="B43" i="5"/>
  <c r="C43" i="3"/>
  <c r="C47" i="3"/>
  <c r="E49" i="3"/>
  <c r="D49" i="5"/>
  <c r="E53" i="3"/>
  <c r="D49" i="4"/>
  <c r="F55" i="5"/>
  <c r="F55" i="4"/>
  <c r="G55" i="3"/>
  <c r="G65" i="3"/>
  <c r="F65" i="4"/>
  <c r="F75" i="5"/>
  <c r="F75" i="4"/>
  <c r="F79" i="5"/>
  <c r="G75" i="3"/>
  <c r="F85" i="5"/>
  <c r="F85" i="4"/>
  <c r="F89" i="5"/>
  <c r="G85" i="3"/>
  <c r="A102" i="5"/>
  <c r="A102" i="7"/>
  <c r="A102" i="4"/>
  <c r="E104" i="3"/>
  <c r="C3" i="4"/>
  <c r="F39" i="3"/>
  <c r="E39" i="5"/>
  <c r="E39" i="4"/>
  <c r="C43" i="5"/>
  <c r="D43" i="3"/>
  <c r="D47" i="3"/>
  <c r="C48" i="5"/>
  <c r="C48" i="4"/>
  <c r="D48" i="3"/>
  <c r="B52" i="7"/>
  <c r="B56" i="3"/>
  <c r="E56" i="5"/>
  <c r="C56" i="5"/>
  <c r="B62" i="7"/>
  <c r="B62" i="3"/>
  <c r="B66" i="5"/>
  <c r="E69" i="5"/>
  <c r="F69" i="3"/>
  <c r="E69" i="4"/>
  <c r="F73" i="3"/>
  <c r="C73" i="5"/>
  <c r="C73" i="4"/>
  <c r="D73" i="3"/>
  <c r="B77" i="7"/>
  <c r="B77" i="3"/>
  <c r="E84" i="4"/>
  <c r="E84" i="5"/>
  <c r="F84" i="3"/>
  <c r="E94" i="5"/>
  <c r="E94" i="4"/>
  <c r="F94" i="3"/>
  <c r="C103" i="4"/>
  <c r="D103" i="3"/>
  <c r="C17" i="3"/>
  <c r="D23" i="4"/>
  <c r="E36" i="5"/>
  <c r="A102" i="3"/>
  <c r="D43" i="4"/>
  <c r="C74" i="4"/>
  <c r="A87" i="4"/>
  <c r="D42" i="5"/>
  <c r="F87" i="5"/>
  <c r="E20" i="5"/>
  <c r="E20" i="4"/>
  <c r="F20" i="3"/>
  <c r="B28" i="7"/>
  <c r="E28" i="4"/>
  <c r="B28" i="3"/>
  <c r="C29" i="5"/>
  <c r="C29" i="4"/>
  <c r="B33" i="7"/>
  <c r="B33" i="3"/>
  <c r="C34" i="5"/>
  <c r="C34" i="4"/>
  <c r="C39" i="5"/>
  <c r="C39" i="4"/>
  <c r="C44" i="5"/>
  <c r="C44" i="4"/>
  <c r="D44" i="3"/>
  <c r="B48" i="7"/>
  <c r="B48" i="3"/>
  <c r="C49" i="5"/>
  <c r="C49" i="4"/>
  <c r="D49" i="3"/>
  <c r="C54" i="5"/>
  <c r="C54" i="4"/>
  <c r="E55" i="5"/>
  <c r="E55" i="4"/>
  <c r="F55" i="3"/>
  <c r="C59" i="5"/>
  <c r="C59" i="4"/>
  <c r="D59" i="3"/>
  <c r="B68" i="7"/>
  <c r="B68" i="3"/>
  <c r="E105" i="5"/>
  <c r="E105" i="4"/>
  <c r="A2" i="7"/>
  <c r="A2" i="4"/>
  <c r="A7" i="7"/>
  <c r="A7" i="5"/>
  <c r="A7" i="4"/>
  <c r="A7" i="3"/>
  <c r="F15" i="5"/>
  <c r="G15" i="3"/>
  <c r="F30" i="5"/>
  <c r="G30" i="3"/>
  <c r="F30" i="4"/>
  <c r="D39" i="5"/>
  <c r="E39" i="3"/>
  <c r="E43" i="3"/>
  <c r="D44" i="4"/>
  <c r="E48" i="3"/>
  <c r="D44" i="5"/>
  <c r="C48" i="7"/>
  <c r="C48" i="3"/>
  <c r="B48" i="5"/>
  <c r="C52" i="3"/>
  <c r="D54" i="5"/>
  <c r="D54" i="4"/>
  <c r="E59" i="3"/>
  <c r="D59" i="4"/>
  <c r="D59" i="5"/>
  <c r="A62" i="5"/>
  <c r="A62" i="7"/>
  <c r="A62" i="3"/>
  <c r="A62" i="4"/>
  <c r="E69" i="3"/>
  <c r="D69" i="5"/>
  <c r="D73" i="5"/>
  <c r="E73" i="3"/>
  <c r="F80" i="5"/>
  <c r="G84" i="3"/>
  <c r="F84" i="5"/>
  <c r="F80" i="4"/>
  <c r="A92" i="5"/>
  <c r="A92" i="7"/>
  <c r="A92" i="4"/>
  <c r="A92" i="3"/>
  <c r="F105" i="5"/>
  <c r="F105" i="4"/>
  <c r="G105" i="3"/>
  <c r="B32" i="3"/>
  <c r="E54" i="3"/>
  <c r="C8" i="4"/>
  <c r="C8" i="5"/>
  <c r="C18" i="4"/>
  <c r="B22" i="7"/>
  <c r="B22" i="3"/>
  <c r="B26" i="3"/>
  <c r="E24" i="4"/>
  <c r="E24" i="5"/>
  <c r="C28" i="4"/>
  <c r="C28" i="5"/>
  <c r="D28" i="3"/>
  <c r="D32" i="3"/>
  <c r="B32" i="7"/>
  <c r="C32" i="4"/>
  <c r="B36" i="3"/>
  <c r="E34" i="5"/>
  <c r="E34" i="4"/>
  <c r="F34" i="3"/>
  <c r="B42" i="7"/>
  <c r="B42" i="3"/>
  <c r="E44" i="5"/>
  <c r="E44" i="4"/>
  <c r="F48" i="3"/>
  <c r="F49" i="3"/>
  <c r="E49" i="5"/>
  <c r="F53" i="3"/>
  <c r="E49" i="4"/>
  <c r="B67" i="7"/>
  <c r="B67" i="3"/>
  <c r="C67" i="4"/>
  <c r="B67" i="4"/>
  <c r="E74" i="5"/>
  <c r="E74" i="4"/>
  <c r="F74" i="3"/>
  <c r="F78" i="3"/>
  <c r="E79" i="4"/>
  <c r="F79" i="3"/>
  <c r="E79" i="5"/>
  <c r="B82" i="7"/>
  <c r="B82" i="4"/>
  <c r="B86" i="3"/>
  <c r="B82" i="3"/>
  <c r="C83" i="5"/>
  <c r="D83" i="3"/>
  <c r="C83" i="4"/>
  <c r="C88" i="4"/>
  <c r="C88" i="5"/>
  <c r="D88" i="3"/>
  <c r="E89" i="5"/>
  <c r="F89" i="3"/>
  <c r="F93" i="3"/>
  <c r="E89" i="4"/>
  <c r="B92" i="7"/>
  <c r="B92" i="3"/>
  <c r="B96" i="5"/>
  <c r="F92" i="4"/>
  <c r="C93" i="4"/>
  <c r="C93" i="5"/>
  <c r="D97" i="3"/>
  <c r="D93" i="3"/>
  <c r="B97" i="7"/>
  <c r="B97" i="4"/>
  <c r="B97" i="3"/>
  <c r="C97" i="4"/>
  <c r="C98" i="5"/>
  <c r="D98" i="3"/>
  <c r="C98" i="4"/>
  <c r="E99" i="4"/>
  <c r="F99" i="3"/>
  <c r="E99" i="5"/>
  <c r="B102" i="7"/>
  <c r="B102" i="3"/>
  <c r="B106" i="3"/>
  <c r="B6" i="3"/>
  <c r="F44" i="3"/>
  <c r="F60" i="3"/>
  <c r="F80" i="3"/>
  <c r="C37" i="4"/>
  <c r="C103" i="5"/>
  <c r="C2" i="7"/>
  <c r="B2" i="4"/>
  <c r="A6" i="7"/>
  <c r="A6" i="5"/>
  <c r="A6" i="4"/>
  <c r="D18" i="4"/>
  <c r="G34" i="3"/>
  <c r="C58" i="4"/>
  <c r="D103" i="5"/>
  <c r="E8" i="4"/>
  <c r="D12" i="3"/>
  <c r="F28" i="4"/>
  <c r="F65" i="5"/>
  <c r="C56" i="7"/>
  <c r="B23" i="7"/>
  <c r="F2" i="4"/>
  <c r="B66" i="3"/>
  <c r="E78" i="3"/>
  <c r="E98" i="3"/>
  <c r="E15" i="4"/>
  <c r="D34" i="4"/>
  <c r="D18" i="5"/>
  <c r="D51" i="5"/>
  <c r="F8" i="3"/>
  <c r="A45" i="3"/>
  <c r="F34" i="4"/>
  <c r="F9" i="5"/>
  <c r="D23" i="5"/>
  <c r="C26" i="7"/>
  <c r="E8" i="5"/>
  <c r="F23" i="3"/>
  <c r="C27" i="4"/>
  <c r="E78" i="4"/>
  <c r="B96" i="3"/>
  <c r="F8" i="5"/>
  <c r="D12" i="5"/>
  <c r="A15" i="7"/>
  <c r="A15" i="5"/>
  <c r="A15" i="3"/>
  <c r="C16" i="7"/>
  <c r="B16" i="5"/>
  <c r="C16" i="3"/>
  <c r="A20" i="7"/>
  <c r="A20" i="5"/>
  <c r="A20" i="4"/>
  <c r="C21" i="7"/>
  <c r="B21" i="4"/>
  <c r="B21" i="5"/>
  <c r="D22" i="5"/>
  <c r="E22" i="3"/>
  <c r="D22" i="4"/>
  <c r="D27" i="5"/>
  <c r="D27" i="4"/>
  <c r="E32" i="3"/>
  <c r="D32" i="5"/>
  <c r="D32" i="4"/>
  <c r="A35" i="7"/>
  <c r="A35" i="3"/>
  <c r="C36" i="7"/>
  <c r="B36" i="4"/>
  <c r="D37" i="5"/>
  <c r="D37" i="4"/>
  <c r="F38" i="5"/>
  <c r="F38" i="4"/>
  <c r="G38" i="3"/>
  <c r="C41" i="7"/>
  <c r="B41" i="5"/>
  <c r="C46" i="7"/>
  <c r="B46" i="5"/>
  <c r="D57" i="4"/>
  <c r="D57" i="5"/>
  <c r="F68" i="5"/>
  <c r="F68" i="4"/>
  <c r="G68" i="3"/>
  <c r="D72" i="5"/>
  <c r="E72" i="3"/>
  <c r="D72" i="4"/>
  <c r="D77" i="4"/>
  <c r="D77" i="5"/>
  <c r="C81" i="7"/>
  <c r="B81" i="5"/>
  <c r="B81" i="4"/>
  <c r="F83" i="5"/>
  <c r="G83" i="3"/>
  <c r="F83" i="4"/>
  <c r="C86" i="7"/>
  <c r="B86" i="5"/>
  <c r="B86" i="4"/>
  <c r="F88" i="5"/>
  <c r="F88" i="4"/>
  <c r="G88" i="3"/>
  <c r="D92" i="4"/>
  <c r="B26" i="4"/>
  <c r="C2" i="4"/>
  <c r="C7" i="5"/>
  <c r="C7" i="4"/>
  <c r="B16" i="7"/>
  <c r="E38" i="4"/>
  <c r="C82" i="4"/>
  <c r="D7" i="5"/>
  <c r="A10" i="7"/>
  <c r="A10" i="4"/>
  <c r="C11" i="7"/>
  <c r="B11" i="4"/>
  <c r="D17" i="5"/>
  <c r="D17" i="4"/>
  <c r="F23" i="5"/>
  <c r="G23" i="3"/>
  <c r="A30" i="7"/>
  <c r="A30" i="5"/>
  <c r="A30" i="4"/>
  <c r="C31" i="7"/>
  <c r="B31" i="5"/>
  <c r="F33" i="5"/>
  <c r="F33" i="4"/>
  <c r="G33" i="3"/>
  <c r="A40" i="5"/>
  <c r="A40" i="4"/>
  <c r="F43" i="5"/>
  <c r="G43" i="3"/>
  <c r="F43" i="4"/>
  <c r="A45" i="7"/>
  <c r="A45" i="4"/>
  <c r="D47" i="5"/>
  <c r="D47" i="4"/>
  <c r="E47" i="3"/>
  <c r="C51" i="7"/>
  <c r="B51" i="5"/>
  <c r="B51" i="4"/>
  <c r="C51" i="3"/>
  <c r="F63" i="5"/>
  <c r="G63" i="3"/>
  <c r="C71" i="7"/>
  <c r="C71" i="3"/>
  <c r="F73" i="5"/>
  <c r="F73" i="4"/>
  <c r="G73" i="3"/>
  <c r="C76" i="7"/>
  <c r="B76" i="4"/>
  <c r="B76" i="5"/>
  <c r="C76" i="3"/>
  <c r="A80" i="7"/>
  <c r="A80" i="3"/>
  <c r="A85" i="7"/>
  <c r="A85" i="3"/>
  <c r="B91" i="5"/>
  <c r="F98" i="4"/>
  <c r="C70" i="3"/>
  <c r="G87" i="3"/>
  <c r="F8" i="4"/>
  <c r="B31" i="4"/>
  <c r="A35" i="4"/>
  <c r="D87" i="4"/>
  <c r="A10" i="5"/>
  <c r="B35" i="5"/>
  <c r="B45" i="5"/>
  <c r="C16" i="5"/>
  <c r="D16" i="3"/>
  <c r="E22" i="5"/>
  <c r="E22" i="4"/>
  <c r="B40" i="7"/>
  <c r="B50" i="7"/>
  <c r="C61" i="5"/>
  <c r="C61" i="4"/>
  <c r="E67" i="5"/>
  <c r="E67" i="4"/>
  <c r="C71" i="5"/>
  <c r="E77" i="5"/>
  <c r="F77" i="3"/>
  <c r="E87" i="5"/>
  <c r="C91" i="5"/>
  <c r="B100" i="7"/>
  <c r="E102" i="5"/>
  <c r="E102" i="4"/>
  <c r="C106" i="5"/>
  <c r="C106" i="4"/>
  <c r="C11" i="3"/>
  <c r="E21" i="3"/>
  <c r="G37" i="3"/>
  <c r="C40" i="3"/>
  <c r="E76" i="3"/>
  <c r="B71" i="4"/>
  <c r="E87" i="4"/>
  <c r="D16" i="5"/>
  <c r="C96" i="5"/>
  <c r="C7" i="7"/>
  <c r="B7" i="4"/>
  <c r="D8" i="5"/>
  <c r="D8" i="4"/>
  <c r="A11" i="7"/>
  <c r="A11" i="5"/>
  <c r="B12" i="4"/>
  <c r="C12" i="3"/>
  <c r="B12" i="5"/>
  <c r="C12" i="7"/>
  <c r="D13" i="4"/>
  <c r="E13" i="3"/>
  <c r="F14" i="5"/>
  <c r="G14" i="3"/>
  <c r="A16" i="7"/>
  <c r="A16" i="4"/>
  <c r="A16" i="5"/>
  <c r="C17" i="7"/>
  <c r="B17" i="5"/>
  <c r="B17" i="4"/>
  <c r="F19" i="5"/>
  <c r="F19" i="4"/>
  <c r="A21" i="5"/>
  <c r="A21" i="7"/>
  <c r="A21" i="4"/>
  <c r="B22" i="5"/>
  <c r="C22" i="7"/>
  <c r="B22" i="4"/>
  <c r="C22" i="3"/>
  <c r="F24" i="4"/>
  <c r="F24" i="5"/>
  <c r="A26" i="5"/>
  <c r="A26" i="7"/>
  <c r="A26" i="4"/>
  <c r="C27" i="7"/>
  <c r="B27" i="5"/>
  <c r="C27" i="3"/>
  <c r="B27" i="4"/>
  <c r="D28" i="4"/>
  <c r="E28" i="3"/>
  <c r="F29" i="5"/>
  <c r="F29" i="4"/>
  <c r="A31" i="5"/>
  <c r="A31" i="7"/>
  <c r="A31" i="4"/>
  <c r="B32" i="5"/>
  <c r="B32" i="4"/>
  <c r="C32" i="7"/>
  <c r="D33" i="5"/>
  <c r="E33" i="3"/>
  <c r="F34" i="5"/>
  <c r="A36" i="5"/>
  <c r="A36" i="7"/>
  <c r="A36" i="4"/>
  <c r="C37" i="7"/>
  <c r="B37" i="5"/>
  <c r="C37" i="3"/>
  <c r="D38" i="5"/>
  <c r="D38" i="4"/>
  <c r="F39" i="5"/>
  <c r="A41" i="5"/>
  <c r="A41" i="7"/>
  <c r="A41" i="4"/>
  <c r="A41" i="3"/>
  <c r="B42" i="5"/>
  <c r="C42" i="7"/>
  <c r="B42" i="4"/>
  <c r="C42" i="3"/>
  <c r="B47" i="4"/>
  <c r="G49" i="3"/>
  <c r="D53" i="5"/>
  <c r="E8" i="3"/>
  <c r="A21" i="3"/>
  <c r="G29" i="3"/>
  <c r="C32" i="3"/>
  <c r="G39" i="3"/>
  <c r="F13" i="5"/>
  <c r="B6" i="7"/>
  <c r="C47" i="4"/>
  <c r="B76" i="3"/>
  <c r="F88" i="3"/>
  <c r="D2" i="4"/>
  <c r="A5" i="7"/>
  <c r="A5" i="4"/>
  <c r="C6" i="7"/>
  <c r="C6" i="3"/>
  <c r="F18" i="5"/>
  <c r="F18" i="4"/>
  <c r="A25" i="7"/>
  <c r="A25" i="5"/>
  <c r="A25" i="4"/>
  <c r="F28" i="5"/>
  <c r="G28" i="3"/>
  <c r="D42" i="4"/>
  <c r="E42" i="3"/>
  <c r="A50" i="5"/>
  <c r="A50" i="7"/>
  <c r="A50" i="4"/>
  <c r="D52" i="4"/>
  <c r="E52" i="3"/>
  <c r="D52" i="5"/>
  <c r="F53" i="5"/>
  <c r="G53" i="3"/>
  <c r="F53" i="4"/>
  <c r="A55" i="7"/>
  <c r="A55" i="4"/>
  <c r="A55" i="5"/>
  <c r="A55" i="3"/>
  <c r="B56" i="5"/>
  <c r="B56" i="4"/>
  <c r="C56" i="3"/>
  <c r="F58" i="5"/>
  <c r="F58" i="4"/>
  <c r="A60" i="4"/>
  <c r="A60" i="5"/>
  <c r="A60" i="3"/>
  <c r="C61" i="7"/>
  <c r="B61" i="5"/>
  <c r="B61" i="4"/>
  <c r="D62" i="4"/>
  <c r="E62" i="3"/>
  <c r="A65" i="7"/>
  <c r="A65" i="5"/>
  <c r="A65" i="4"/>
  <c r="B66" i="4"/>
  <c r="C66" i="7"/>
  <c r="D67" i="5"/>
  <c r="D67" i="4"/>
  <c r="E67" i="3"/>
  <c r="A70" i="7"/>
  <c r="A70" i="4"/>
  <c r="A75" i="7"/>
  <c r="A75" i="5"/>
  <c r="F78" i="5"/>
  <c r="F78" i="4"/>
  <c r="D82" i="5"/>
  <c r="E82" i="3"/>
  <c r="D82" i="4"/>
  <c r="G8" i="3"/>
  <c r="C15" i="3"/>
  <c r="A26" i="3"/>
  <c r="G52" i="3"/>
  <c r="F7" i="3"/>
  <c r="B10" i="7"/>
  <c r="B15" i="7"/>
  <c r="B15" i="3"/>
  <c r="E17" i="4"/>
  <c r="E17" i="5"/>
  <c r="F17" i="3"/>
  <c r="B20" i="7"/>
  <c r="E32" i="5"/>
  <c r="E32" i="4"/>
  <c r="E37" i="5"/>
  <c r="E37" i="4"/>
  <c r="E42" i="5"/>
  <c r="E42" i="4"/>
  <c r="F42" i="3"/>
  <c r="E47" i="5"/>
  <c r="E47" i="4"/>
  <c r="F47" i="3"/>
  <c r="C51" i="5"/>
  <c r="C51" i="4"/>
  <c r="D51" i="3"/>
  <c r="E57" i="5"/>
  <c r="E57" i="4"/>
  <c r="C66" i="4"/>
  <c r="C66" i="5"/>
  <c r="B70" i="7"/>
  <c r="E72" i="5"/>
  <c r="E72" i="4"/>
  <c r="F72" i="3"/>
  <c r="C76" i="5"/>
  <c r="D76" i="3"/>
  <c r="B80" i="7"/>
  <c r="B80" i="3"/>
  <c r="E82" i="5"/>
  <c r="E82" i="4"/>
  <c r="C86" i="5"/>
  <c r="C86" i="4"/>
  <c r="E92" i="5"/>
  <c r="E92" i="4"/>
  <c r="F92" i="3"/>
  <c r="D15" i="3"/>
  <c r="E23" i="3"/>
  <c r="G32" i="3"/>
  <c r="E61" i="3"/>
  <c r="D91" i="3"/>
  <c r="E77" i="4"/>
  <c r="B5" i="4"/>
  <c r="G7" i="3"/>
  <c r="C10" i="7"/>
  <c r="B10" i="4"/>
  <c r="F12" i="5"/>
  <c r="A14" i="7"/>
  <c r="A14" i="5"/>
  <c r="A14" i="4"/>
  <c r="C15" i="7"/>
  <c r="B15" i="4"/>
  <c r="E16" i="3"/>
  <c r="D16" i="4"/>
  <c r="G17" i="3"/>
  <c r="A19" i="5"/>
  <c r="A19" i="4"/>
  <c r="A19" i="7"/>
  <c r="C20" i="7"/>
  <c r="B20" i="5"/>
  <c r="D21" i="5"/>
  <c r="F22" i="5"/>
  <c r="F22" i="4"/>
  <c r="A24" i="5"/>
  <c r="A24" i="7"/>
  <c r="A24" i="3"/>
  <c r="B25" i="5"/>
  <c r="C25" i="7"/>
  <c r="B25" i="4"/>
  <c r="C25" i="3"/>
  <c r="D26" i="5"/>
  <c r="D26" i="4"/>
  <c r="F27" i="5"/>
  <c r="F27" i="4"/>
  <c r="A29" i="5"/>
  <c r="A29" i="7"/>
  <c r="C30" i="7"/>
  <c r="B30" i="4"/>
  <c r="C30" i="3"/>
  <c r="F32" i="5"/>
  <c r="F32" i="4"/>
  <c r="A34" i="5"/>
  <c r="A34" i="7"/>
  <c r="A34" i="4"/>
  <c r="A34" i="3"/>
  <c r="C35" i="3"/>
  <c r="B35" i="4"/>
  <c r="D36" i="5"/>
  <c r="D36" i="4"/>
  <c r="A39" i="5"/>
  <c r="A39" i="7"/>
  <c r="A39" i="4"/>
  <c r="A39" i="3"/>
  <c r="C40" i="7"/>
  <c r="B40" i="5"/>
  <c r="B40" i="4"/>
  <c r="F42" i="5"/>
  <c r="A44" i="5"/>
  <c r="A44" i="7"/>
  <c r="A44" i="3"/>
  <c r="A44" i="4"/>
  <c r="C45" i="7"/>
  <c r="C45" i="3"/>
  <c r="B45" i="4"/>
  <c r="D46" i="4"/>
  <c r="D46" i="5"/>
  <c r="F47" i="5"/>
  <c r="G47" i="3"/>
  <c r="F47" i="4"/>
  <c r="A49" i="5"/>
  <c r="A49" i="7"/>
  <c r="C50" i="7"/>
  <c r="B50" i="5"/>
  <c r="B50" i="4"/>
  <c r="E51" i="3"/>
  <c r="F52" i="5"/>
  <c r="F52" i="4"/>
  <c r="A54" i="5"/>
  <c r="A54" i="7"/>
  <c r="A54" i="3"/>
  <c r="C55" i="7"/>
  <c r="C55" i="3"/>
  <c r="D56" i="4"/>
  <c r="E56" i="3"/>
  <c r="F57" i="5"/>
  <c r="A59" i="5"/>
  <c r="A59" i="7"/>
  <c r="A59" i="4"/>
  <c r="C60" i="7"/>
  <c r="B60" i="5"/>
  <c r="C60" i="3"/>
  <c r="D61" i="5"/>
  <c r="F62" i="5"/>
  <c r="F62" i="4"/>
  <c r="A64" i="5"/>
  <c r="A64" i="7"/>
  <c r="A64" i="3"/>
  <c r="B65" i="4"/>
  <c r="C65" i="3"/>
  <c r="C65" i="7"/>
  <c r="D66" i="4"/>
  <c r="D66" i="5"/>
  <c r="F67" i="4"/>
  <c r="F67" i="5"/>
  <c r="A69" i="5"/>
  <c r="A69" i="7"/>
  <c r="A69" i="4"/>
  <c r="A69" i="3"/>
  <c r="C70" i="7"/>
  <c r="B70" i="4"/>
  <c r="D71" i="5"/>
  <c r="D71" i="4"/>
  <c r="F72" i="5"/>
  <c r="F72" i="4"/>
  <c r="G72" i="3"/>
  <c r="A74" i="5"/>
  <c r="A74" i="7"/>
  <c r="A74" i="3"/>
  <c r="B75" i="5"/>
  <c r="B75" i="4"/>
  <c r="C75" i="7"/>
  <c r="C75" i="3"/>
  <c r="F77" i="5"/>
  <c r="G77" i="3"/>
  <c r="A79" i="5"/>
  <c r="A79" i="7"/>
  <c r="A79" i="4"/>
  <c r="C80" i="7"/>
  <c r="B80" i="4"/>
  <c r="B80" i="5"/>
  <c r="D81" i="4"/>
  <c r="D81" i="5"/>
  <c r="E81" i="3"/>
  <c r="F82" i="5"/>
  <c r="F82" i="4"/>
  <c r="A84" i="5"/>
  <c r="A84" i="7"/>
  <c r="A84" i="3"/>
  <c r="A84" i="4"/>
  <c r="B85" i="4"/>
  <c r="C85" i="7"/>
  <c r="C85" i="3"/>
  <c r="D86" i="5"/>
  <c r="D86" i="4"/>
  <c r="E86" i="3"/>
  <c r="A89" i="5"/>
  <c r="A89" i="4"/>
  <c r="A89" i="7"/>
  <c r="A89" i="3"/>
  <c r="C90" i="7"/>
  <c r="B90" i="4"/>
  <c r="B90" i="5"/>
  <c r="C90" i="3"/>
  <c r="D91" i="5"/>
  <c r="A94" i="5"/>
  <c r="A94" i="7"/>
  <c r="A94" i="4"/>
  <c r="A94" i="3"/>
  <c r="B95" i="4"/>
  <c r="B95" i="5"/>
  <c r="C95" i="3"/>
  <c r="C95" i="7"/>
  <c r="F97" i="5"/>
  <c r="F97" i="4"/>
  <c r="G97" i="3"/>
  <c r="A99" i="5"/>
  <c r="A99" i="7"/>
  <c r="A99" i="4"/>
  <c r="C100" i="7"/>
  <c r="B100" i="5"/>
  <c r="B100" i="4"/>
  <c r="D101" i="4"/>
  <c r="E101" i="3"/>
  <c r="F102" i="5"/>
  <c r="F102" i="4"/>
  <c r="G102" i="3"/>
  <c r="A104" i="5"/>
  <c r="A104" i="7"/>
  <c r="A104" i="3"/>
  <c r="C105" i="7"/>
  <c r="B105" i="4"/>
  <c r="B105" i="5"/>
  <c r="C105" i="3"/>
  <c r="D106" i="5"/>
  <c r="E106" i="3"/>
  <c r="C7" i="3"/>
  <c r="D11" i="3"/>
  <c r="E15" i="3"/>
  <c r="C24" i="3"/>
  <c r="C26" i="3"/>
  <c r="B59" i="3"/>
  <c r="D71" i="3"/>
  <c r="C79" i="3"/>
  <c r="F82" i="3"/>
  <c r="E91" i="3"/>
  <c r="D106" i="3"/>
  <c r="C10" i="4"/>
  <c r="F13" i="4"/>
  <c r="B41" i="4"/>
  <c r="B46" i="4"/>
  <c r="E51" i="4"/>
  <c r="D61" i="4"/>
  <c r="C71" i="4"/>
  <c r="F77" i="4"/>
  <c r="F17" i="5"/>
  <c r="B36" i="5"/>
  <c r="B71" i="5"/>
  <c r="A85" i="5"/>
  <c r="A60" i="7"/>
  <c r="B19" i="7"/>
  <c r="B19" i="3"/>
  <c r="E21" i="5"/>
  <c r="B24" i="7"/>
  <c r="B24" i="3"/>
  <c r="E26" i="5"/>
  <c r="E26" i="4"/>
  <c r="C30" i="5"/>
  <c r="C30" i="4"/>
  <c r="D30" i="3"/>
  <c r="C105" i="5"/>
  <c r="C105" i="4"/>
  <c r="D105" i="3"/>
  <c r="E106" i="4"/>
  <c r="E106" i="5"/>
  <c r="F106" i="3"/>
  <c r="D7" i="3"/>
  <c r="E17" i="3"/>
  <c r="G19" i="3"/>
  <c r="G21" i="3"/>
  <c r="A29" i="3"/>
  <c r="A31" i="3"/>
  <c r="A36" i="3"/>
  <c r="C41" i="3"/>
  <c r="C46" i="3"/>
  <c r="A65" i="3"/>
  <c r="E71" i="3"/>
  <c r="B74" i="3"/>
  <c r="C80" i="3"/>
  <c r="G82" i="3"/>
  <c r="B89" i="3"/>
  <c r="B104" i="3"/>
  <c r="F14" i="4"/>
  <c r="A28" i="4"/>
  <c r="F42" i="4"/>
  <c r="D106" i="4"/>
  <c r="B11" i="5"/>
  <c r="D62" i="5"/>
  <c r="F71" i="5"/>
  <c r="B85" i="5"/>
  <c r="C6" i="5"/>
  <c r="D6" i="3"/>
  <c r="C6" i="4"/>
  <c r="E12" i="4"/>
  <c r="E12" i="5"/>
  <c r="C21" i="5"/>
  <c r="B25" i="7"/>
  <c r="C26" i="4"/>
  <c r="C26" i="5"/>
  <c r="E27" i="5"/>
  <c r="E27" i="4"/>
  <c r="B30" i="7"/>
  <c r="B30" i="3"/>
  <c r="B35" i="7"/>
  <c r="B35" i="3"/>
  <c r="C36" i="5"/>
  <c r="C36" i="4"/>
  <c r="C46" i="4"/>
  <c r="C46" i="5"/>
  <c r="E52" i="5"/>
  <c r="E52" i="4"/>
  <c r="B55" i="7"/>
  <c r="C56" i="4"/>
  <c r="D56" i="3"/>
  <c r="B60" i="7"/>
  <c r="B60" i="3"/>
  <c r="E62" i="5"/>
  <c r="E62" i="4"/>
  <c r="B65" i="7"/>
  <c r="B65" i="3"/>
  <c r="B75" i="7"/>
  <c r="C81" i="5"/>
  <c r="D81" i="3"/>
  <c r="B85" i="7"/>
  <c r="B85" i="3"/>
  <c r="B90" i="7"/>
  <c r="B95" i="7"/>
  <c r="E97" i="5"/>
  <c r="E97" i="4"/>
  <c r="F97" i="3"/>
  <c r="C101" i="4"/>
  <c r="D101" i="3"/>
  <c r="B105" i="7"/>
  <c r="B105" i="3"/>
  <c r="G67" i="3"/>
  <c r="D6" i="5"/>
  <c r="D6" i="4"/>
  <c r="E6" i="3"/>
  <c r="A9" i="7"/>
  <c r="A9" i="5"/>
  <c r="A9" i="4"/>
  <c r="D11" i="4"/>
  <c r="D11" i="5"/>
  <c r="B4" i="7"/>
  <c r="E6" i="5"/>
  <c r="E6" i="4"/>
  <c r="B9" i="7"/>
  <c r="B9" i="3"/>
  <c r="E11" i="4"/>
  <c r="E11" i="5"/>
  <c r="C15" i="4"/>
  <c r="E16" i="5"/>
  <c r="E16" i="4"/>
  <c r="C20" i="5"/>
  <c r="C25" i="5"/>
  <c r="D25" i="3"/>
  <c r="C25" i="4"/>
  <c r="F31" i="3"/>
  <c r="C35" i="5"/>
  <c r="D35" i="3"/>
  <c r="C35" i="4"/>
  <c r="F36" i="3"/>
  <c r="C40" i="5"/>
  <c r="C40" i="4"/>
  <c r="D40" i="3"/>
  <c r="E41" i="5"/>
  <c r="E41" i="4"/>
  <c r="B44" i="7"/>
  <c r="B44" i="3"/>
  <c r="C45" i="5"/>
  <c r="D45" i="3"/>
  <c r="E46" i="5"/>
  <c r="E46" i="4"/>
  <c r="F46" i="3"/>
  <c r="C50" i="5"/>
  <c r="C50" i="4"/>
  <c r="C55" i="5"/>
  <c r="D55" i="3"/>
  <c r="F56" i="3"/>
  <c r="E56" i="4"/>
  <c r="C60" i="5"/>
  <c r="D60" i="3"/>
  <c r="E61" i="5"/>
  <c r="F61" i="3"/>
  <c r="B64" i="7"/>
  <c r="B64" i="3"/>
  <c r="C65" i="5"/>
  <c r="D65" i="3"/>
  <c r="C65" i="4"/>
  <c r="E66" i="5"/>
  <c r="F66" i="3"/>
  <c r="B69" i="7"/>
  <c r="B69" i="3"/>
  <c r="C70" i="5"/>
  <c r="C70" i="4"/>
  <c r="E71" i="5"/>
  <c r="E71" i="4"/>
  <c r="C75" i="5"/>
  <c r="D75" i="3"/>
  <c r="C75" i="4"/>
  <c r="F76" i="3"/>
  <c r="E76" i="4"/>
  <c r="C80" i="5"/>
  <c r="E81" i="4"/>
  <c r="E81" i="5"/>
  <c r="F81" i="3"/>
  <c r="C85" i="5"/>
  <c r="D85" i="3"/>
  <c r="C85" i="4"/>
  <c r="E86" i="4"/>
  <c r="E86" i="5"/>
  <c r="F86" i="3"/>
  <c r="C90" i="5"/>
  <c r="C90" i="4"/>
  <c r="D90" i="3"/>
  <c r="E91" i="5"/>
  <c r="E91" i="4"/>
  <c r="B94" i="7"/>
  <c r="B94" i="3"/>
  <c r="F94" i="4"/>
  <c r="C95" i="5"/>
  <c r="D95" i="3"/>
  <c r="C95" i="4"/>
  <c r="F96" i="3"/>
  <c r="E96" i="5"/>
  <c r="B99" i="7"/>
  <c r="B99" i="3"/>
  <c r="C100" i="5"/>
  <c r="C100" i="4"/>
  <c r="E101" i="5"/>
  <c r="E101" i="4"/>
  <c r="B4" i="4"/>
  <c r="F6" i="4"/>
  <c r="F6" i="5"/>
  <c r="A8" i="3"/>
  <c r="A8" i="5"/>
  <c r="B9" i="5"/>
  <c r="C9" i="7"/>
  <c r="C9" i="3"/>
  <c r="B9" i="4"/>
  <c r="D10" i="5"/>
  <c r="E10" i="3"/>
  <c r="F11" i="4"/>
  <c r="F11" i="5"/>
  <c r="A13" i="5"/>
  <c r="A13" i="7"/>
  <c r="B14" i="5"/>
  <c r="C14" i="7"/>
  <c r="B14" i="4"/>
  <c r="D15" i="4"/>
  <c r="D15" i="5"/>
  <c r="F16" i="5"/>
  <c r="F16" i="4"/>
  <c r="A18" i="7"/>
  <c r="A18" i="3"/>
  <c r="C19" i="7"/>
  <c r="B19" i="4"/>
  <c r="C19" i="3"/>
  <c r="B19" i="5"/>
  <c r="D20" i="5"/>
  <c r="E20" i="3"/>
  <c r="A23" i="7"/>
  <c r="A23" i="4"/>
  <c r="B24" i="4"/>
  <c r="D25" i="5"/>
  <c r="E25" i="3"/>
  <c r="G26" i="3"/>
  <c r="F26" i="5"/>
  <c r="C29" i="7"/>
  <c r="B29" i="5"/>
  <c r="D30" i="5"/>
  <c r="D30" i="4"/>
  <c r="F31" i="4"/>
  <c r="G31" i="3"/>
  <c r="F31" i="5"/>
  <c r="A33" i="7"/>
  <c r="A33" i="5"/>
  <c r="A33" i="4"/>
  <c r="B34" i="5"/>
  <c r="B34" i="4"/>
  <c r="C34" i="7"/>
  <c r="D35" i="5"/>
  <c r="E35" i="3"/>
  <c r="D35" i="4"/>
  <c r="F36" i="5"/>
  <c r="G36" i="3"/>
  <c r="A38" i="5"/>
  <c r="A38" i="4"/>
  <c r="B39" i="5"/>
  <c r="B39" i="4"/>
  <c r="D40" i="5"/>
  <c r="E40" i="3"/>
  <c r="F41" i="5"/>
  <c r="F41" i="4"/>
  <c r="A43" i="5"/>
  <c r="A43" i="7"/>
  <c r="B44" i="5"/>
  <c r="B44" i="4"/>
  <c r="C44" i="7"/>
  <c r="C44" i="3"/>
  <c r="D45" i="5"/>
  <c r="F46" i="5"/>
  <c r="G46" i="3"/>
  <c r="A48" i="7"/>
  <c r="A48" i="5"/>
  <c r="A48" i="4"/>
  <c r="B49" i="4"/>
  <c r="C49" i="7"/>
  <c r="C49" i="3"/>
  <c r="D50" i="5"/>
  <c r="D50" i="4"/>
  <c r="F51" i="5"/>
  <c r="A53" i="7"/>
  <c r="A53" i="5"/>
  <c r="A53" i="4"/>
  <c r="A53" i="3"/>
  <c r="B54" i="4"/>
  <c r="C54" i="7"/>
  <c r="B54" i="5"/>
  <c r="D55" i="5"/>
  <c r="G56" i="3"/>
  <c r="F56" i="4"/>
  <c r="F56" i="5"/>
  <c r="A58" i="5"/>
  <c r="A58" i="3"/>
  <c r="B59" i="4"/>
  <c r="B59" i="5"/>
  <c r="D60" i="5"/>
  <c r="F61" i="5"/>
  <c r="G61" i="3"/>
  <c r="A63" i="5"/>
  <c r="A63" i="4"/>
  <c r="A63" i="7"/>
  <c r="C64" i="7"/>
  <c r="B64" i="5"/>
  <c r="D65" i="5"/>
  <c r="D65" i="4"/>
  <c r="E65" i="3"/>
  <c r="F66" i="5"/>
  <c r="F66" i="4"/>
  <c r="G66" i="3"/>
  <c r="A68" i="4"/>
  <c r="A68" i="5"/>
  <c r="A68" i="7"/>
  <c r="C69" i="7"/>
  <c r="C69" i="3"/>
  <c r="B69" i="5"/>
  <c r="B69" i="4"/>
  <c r="D70" i="5"/>
  <c r="D70" i="4"/>
  <c r="E70" i="3"/>
  <c r="A73" i="5"/>
  <c r="A73" i="4"/>
  <c r="A73" i="3"/>
  <c r="B74" i="5"/>
  <c r="C74" i="3"/>
  <c r="D75" i="5"/>
  <c r="D75" i="4"/>
  <c r="F76" i="4"/>
  <c r="G76" i="3"/>
  <c r="F76" i="5"/>
  <c r="A78" i="5"/>
  <c r="A78" i="7"/>
  <c r="A78" i="3"/>
  <c r="B79" i="5"/>
  <c r="B79" i="4"/>
  <c r="C79" i="7"/>
  <c r="D80" i="5"/>
  <c r="F81" i="4"/>
  <c r="F81" i="5"/>
  <c r="G81" i="3"/>
  <c r="A83" i="4"/>
  <c r="A83" i="5"/>
  <c r="A83" i="7"/>
  <c r="B84" i="4"/>
  <c r="B84" i="5"/>
  <c r="D85" i="5"/>
  <c r="E85" i="3"/>
  <c r="D85" i="4"/>
  <c r="F86" i="4"/>
  <c r="F86" i="5"/>
  <c r="G86" i="3"/>
  <c r="A88" i="7"/>
  <c r="A88" i="4"/>
  <c r="B89" i="5"/>
  <c r="C89" i="7"/>
  <c r="B89" i="4"/>
  <c r="D90" i="5"/>
  <c r="D90" i="4"/>
  <c r="E90" i="3"/>
  <c r="F91" i="5"/>
  <c r="F91" i="4"/>
  <c r="B94" i="4"/>
  <c r="C94" i="7"/>
  <c r="B94" i="5"/>
  <c r="C94" i="3"/>
  <c r="D95" i="5"/>
  <c r="D95" i="4"/>
  <c r="F96" i="4"/>
  <c r="F96" i="5"/>
  <c r="G96" i="3"/>
  <c r="A98" i="7"/>
  <c r="A98" i="4"/>
  <c r="A98" i="5"/>
  <c r="C99" i="7"/>
  <c r="B99" i="4"/>
  <c r="B99" i="5"/>
  <c r="C99" i="3"/>
  <c r="D100" i="5"/>
  <c r="D100" i="4"/>
  <c r="F101" i="4"/>
  <c r="F101" i="5"/>
  <c r="A103" i="7"/>
  <c r="A103" i="5"/>
  <c r="A103" i="3"/>
  <c r="D105" i="5"/>
  <c r="D105" i="4"/>
  <c r="E105" i="3"/>
  <c r="F106" i="4"/>
  <c r="F106" i="5"/>
  <c r="G106" i="3"/>
  <c r="E7" i="3"/>
  <c r="G9" i="3"/>
  <c r="F11" i="3"/>
  <c r="A14" i="3"/>
  <c r="A20" i="3"/>
  <c r="E26" i="3"/>
  <c r="B29" i="3"/>
  <c r="C31" i="3"/>
  <c r="E38" i="3"/>
  <c r="D41" i="3"/>
  <c r="D46" i="3"/>
  <c r="G48" i="3"/>
  <c r="B54" i="3"/>
  <c r="G62" i="3"/>
  <c r="F71" i="3"/>
  <c r="D80" i="3"/>
  <c r="A83" i="3"/>
  <c r="C89" i="3"/>
  <c r="G91" i="3"/>
  <c r="C104" i="3"/>
  <c r="B6" i="4"/>
  <c r="A15" i="4"/>
  <c r="B37" i="4"/>
  <c r="A43" i="4"/>
  <c r="F57" i="4"/>
  <c r="F61" i="4"/>
  <c r="F89" i="4"/>
  <c r="C11" i="5"/>
  <c r="D28" i="5"/>
  <c r="D101" i="5"/>
  <c r="A40" i="7"/>
  <c r="A93" i="7"/>
  <c r="F59" i="5"/>
  <c r="D43" i="5"/>
  <c r="F44" i="5"/>
  <c r="A46" i="5"/>
  <c r="A46" i="4"/>
  <c r="A46" i="7"/>
  <c r="C47" i="7"/>
  <c r="B47" i="5"/>
  <c r="D48" i="5"/>
  <c r="D48" i="4"/>
  <c r="A51" i="5"/>
  <c r="A51" i="7"/>
  <c r="A51" i="4"/>
  <c r="A51" i="3"/>
  <c r="B52" i="5"/>
  <c r="C52" i="7"/>
  <c r="F54" i="4"/>
  <c r="A56" i="5"/>
  <c r="A56" i="4"/>
  <c r="A56" i="7"/>
  <c r="C57" i="7"/>
  <c r="B57" i="5"/>
  <c r="D58" i="5"/>
  <c r="A61" i="5"/>
  <c r="A61" i="7"/>
  <c r="A61" i="4"/>
  <c r="A61" i="3"/>
  <c r="B62" i="5"/>
  <c r="C62" i="7"/>
  <c r="D63" i="4"/>
  <c r="F64" i="5"/>
  <c r="A66" i="5"/>
  <c r="A66" i="7"/>
  <c r="C67" i="7"/>
  <c r="B67" i="5"/>
  <c r="D68" i="4"/>
  <c r="D68" i="5"/>
  <c r="F69" i="5"/>
  <c r="F69" i="4"/>
  <c r="A71" i="5"/>
  <c r="A71" i="7"/>
  <c r="A71" i="3"/>
  <c r="B72" i="5"/>
  <c r="D73" i="4"/>
  <c r="F74" i="5"/>
  <c r="F74" i="4"/>
  <c r="A76" i="5"/>
  <c r="A76" i="7"/>
  <c r="C77" i="7"/>
  <c r="B77" i="5"/>
  <c r="B77" i="4"/>
  <c r="D78" i="4"/>
  <c r="D78" i="5"/>
  <c r="A81" i="5"/>
  <c r="A81" i="7"/>
  <c r="A81" i="4"/>
  <c r="A81" i="3"/>
  <c r="B82" i="5"/>
  <c r="D83" i="5"/>
  <c r="D83" i="4"/>
  <c r="F84" i="4"/>
  <c r="A86" i="5"/>
  <c r="A86" i="7"/>
  <c r="A86" i="4"/>
  <c r="C87" i="7"/>
  <c r="B87" i="5"/>
  <c r="D88" i="4"/>
  <c r="D88" i="5"/>
  <c r="A91" i="5"/>
  <c r="A91" i="7"/>
  <c r="A91" i="4"/>
  <c r="A91" i="3"/>
  <c r="B92" i="5"/>
  <c r="C92" i="7"/>
  <c r="B92" i="4"/>
  <c r="D93" i="4"/>
  <c r="D93" i="5"/>
  <c r="F94" i="5"/>
  <c r="A96" i="5"/>
  <c r="A96" i="4"/>
  <c r="C97" i="7"/>
  <c r="B97" i="5"/>
  <c r="D98" i="4"/>
  <c r="D98" i="5"/>
  <c r="F99" i="5"/>
  <c r="A101" i="5"/>
  <c r="A101" i="7"/>
  <c r="A101" i="3"/>
  <c r="B102" i="5"/>
  <c r="C102" i="7"/>
  <c r="D103" i="4"/>
  <c r="F104" i="4"/>
  <c r="F104" i="5"/>
  <c r="A106" i="7"/>
  <c r="A106" i="5"/>
  <c r="F38" i="3"/>
  <c r="E63" i="3"/>
  <c r="C67" i="3"/>
  <c r="G79" i="3"/>
  <c r="G104" i="3"/>
  <c r="F44" i="4"/>
  <c r="D53" i="4"/>
  <c r="B62" i="4"/>
  <c r="B72" i="4"/>
  <c r="A106" i="4"/>
  <c r="A96" i="7"/>
  <c r="B11" i="7"/>
  <c r="C12" i="5"/>
  <c r="E13" i="4"/>
  <c r="C17" i="5"/>
  <c r="C17" i="4"/>
  <c r="E18" i="5"/>
  <c r="B21" i="3"/>
  <c r="B21" i="7"/>
  <c r="C22" i="5"/>
  <c r="E23" i="5"/>
  <c r="C27" i="5"/>
  <c r="E28" i="5"/>
  <c r="B31" i="7"/>
  <c r="B31" i="3"/>
  <c r="C32" i="5"/>
  <c r="E33" i="5"/>
  <c r="E33" i="4"/>
  <c r="B36" i="7"/>
  <c r="C37" i="5"/>
  <c r="E38" i="5"/>
  <c r="B41" i="3"/>
  <c r="C42" i="5"/>
  <c r="C42" i="4"/>
  <c r="D42" i="3"/>
  <c r="E43" i="5"/>
  <c r="B46" i="7"/>
  <c r="C47" i="5"/>
  <c r="E48" i="5"/>
  <c r="E48" i="4"/>
  <c r="B51" i="3"/>
  <c r="C52" i="5"/>
  <c r="D52" i="3"/>
  <c r="C52" i="4"/>
  <c r="E53" i="5"/>
  <c r="B56" i="7"/>
  <c r="C57" i="5"/>
  <c r="E58" i="5"/>
  <c r="E58" i="4"/>
  <c r="B61" i="3"/>
  <c r="C62" i="5"/>
  <c r="D62" i="3"/>
  <c r="E63" i="5"/>
  <c r="B66" i="7"/>
  <c r="C67" i="5"/>
  <c r="E68" i="5"/>
  <c r="B71" i="7"/>
  <c r="B71" i="3"/>
  <c r="C72" i="5"/>
  <c r="D72" i="3"/>
  <c r="C72" i="4"/>
  <c r="E73" i="5"/>
  <c r="E73" i="4"/>
  <c r="B76" i="7"/>
  <c r="C77" i="5"/>
  <c r="C77" i="4"/>
  <c r="E78" i="5"/>
  <c r="B81" i="7"/>
  <c r="B81" i="3"/>
  <c r="C82" i="5"/>
  <c r="D82" i="3"/>
  <c r="E83" i="5"/>
  <c r="B86" i="7"/>
  <c r="C87" i="5"/>
  <c r="E88" i="5"/>
  <c r="E88" i="4"/>
  <c r="B91" i="3"/>
  <c r="C92" i="5"/>
  <c r="C92" i="4"/>
  <c r="D92" i="3"/>
  <c r="E93" i="5"/>
  <c r="C97" i="5"/>
  <c r="E98" i="5"/>
  <c r="B101" i="7"/>
  <c r="B101" i="3"/>
  <c r="C102" i="5"/>
  <c r="D102" i="3"/>
  <c r="C102" i="4"/>
  <c r="E103" i="5"/>
  <c r="E103" i="4"/>
  <c r="F103" i="3"/>
  <c r="B106" i="7"/>
  <c r="F28" i="3"/>
  <c r="A46" i="3"/>
  <c r="G54" i="3"/>
  <c r="E58" i="3"/>
  <c r="F63" i="3"/>
  <c r="D67" i="3"/>
  <c r="C92" i="3"/>
  <c r="A96" i="3"/>
  <c r="E53" i="4"/>
  <c r="C62" i="4"/>
  <c r="A66" i="4"/>
  <c r="A76" i="4"/>
  <c r="B102" i="4"/>
  <c r="F54" i="5"/>
  <c r="C82" i="7"/>
  <c r="B96" i="7"/>
  <c r="C91" i="7"/>
  <c r="B91" i="4"/>
  <c r="E92" i="3"/>
  <c r="F93" i="5"/>
  <c r="G93" i="3"/>
  <c r="A95" i="7"/>
  <c r="A95" i="5"/>
  <c r="C96" i="7"/>
  <c r="D97" i="5"/>
  <c r="D97" i="4"/>
  <c r="F98" i="5"/>
  <c r="A100" i="5"/>
  <c r="A100" i="7"/>
  <c r="A100" i="4"/>
  <c r="C101" i="7"/>
  <c r="B101" i="5"/>
  <c r="D102" i="5"/>
  <c r="E102" i="3"/>
  <c r="D102" i="4"/>
  <c r="F103" i="5"/>
  <c r="G103" i="3"/>
  <c r="A105" i="7"/>
  <c r="A105" i="4"/>
  <c r="A105" i="5"/>
  <c r="C106" i="7"/>
  <c r="B106" i="5"/>
  <c r="F13" i="3"/>
  <c r="D22" i="3"/>
  <c r="B46" i="3"/>
  <c r="F58" i="3"/>
  <c r="E83" i="3"/>
  <c r="C87" i="3"/>
  <c r="G99" i="3"/>
  <c r="C22" i="4"/>
  <c r="B57" i="4"/>
  <c r="D92" i="5"/>
  <c r="B5" i="6" l="1"/>
  <c r="B6" i="6"/>
  <c r="B3" i="6"/>
  <c r="B2" i="6"/>
  <c r="B4" i="6"/>
</calcChain>
</file>

<file path=xl/sharedStrings.xml><?xml version="1.0" encoding="utf-8"?>
<sst xmlns="http://schemas.openxmlformats.org/spreadsheetml/2006/main" count="154" uniqueCount="121">
  <si>
    <t>Date</t>
  </si>
  <si>
    <t>Real_GDP</t>
  </si>
  <si>
    <t>Real_Private_Consumption</t>
  </si>
  <si>
    <t>Real_Government_Consumption</t>
  </si>
  <si>
    <t>Real_Investment</t>
  </si>
  <si>
    <t>Real_Exports</t>
  </si>
  <si>
    <t>Real_Imports</t>
  </si>
  <si>
    <t>Population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</si>
  <si>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</si>
  <si>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</si>
  <si>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</si>
  <si>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</si>
  <si>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</si>
  <si>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</si>
  <si>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</si>
  <si>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</si>
  <si>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</si>
  <si>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</si>
  <si>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</si>
  <si>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</si>
  <si>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</si>
  <si>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</si>
  <si>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</si>
  <si>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</si>
  <si>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</si>
  <si>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</si>
  <si>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</si>
  <si>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</si>
  <si>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</si>
  <si>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</si>
  <si>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</si>
  <si>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</si>
  <si>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</si>
  <si>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</si>
  <si>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</si>
  <si>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</si>
  <si>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</si>
  <si>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</si>
  <si>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</si>
  <si>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</si>
  <si>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</si>
  <si>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</si>
  <si>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</si>
  <si>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</si>
  <si>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</si>
  <si>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</si>
  <si>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</si>
  <si>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</si>
  <si>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</si>
  <si>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</si>
  <si>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</si>
  <si>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</si>
  <si>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</si>
  <si>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</si>
  <si>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</si>
  <si>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</si>
  <si>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</si>
  <si>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</si>
  <si>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</si>
  <si>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</si>
  <si>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</si>
  <si>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</si>
  <si>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</si>
  <si>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</si>
  <si>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</si>
  <si>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</si>
  <si>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</si>
  <si>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</si>
  <si>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</si>
  <si>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</si>
  <si>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</si>
  <si>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</si>
  <si>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</si>
  <si>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</si>
  <si>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</si>
  <si>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</si>
  <si>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</si>
  <si>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</si>
  <si>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</si>
  <si>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</si>
  <si>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</si>
  <si>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</si>
  <si>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</si>
  <si>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</si>
  <si>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</si>
  <si>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</si>
  <si>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</si>
  <si>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</si>
  <si>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</si>
  <si>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</si>
  <si>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</si>
  <si>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</si>
  <si>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</si>
  <si>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</si>
  <si>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</si>
  <si>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</si>
  <si>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</si>
  <si>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</si>
  <si>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</si>
  <si>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</si>
  <si>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</si>
  <si>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</si>
  <si>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</si>
  <si>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</si>
  <si>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</si>
  <si>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</si>
  <si>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</si>
  <si>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</si>
  <si>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2025-01-01</t>
  </si>
  <si>
    <t>2025-04-01</t>
  </si>
  <si>
    <t>2025-07-01</t>
  </si>
  <si>
    <t>2025-10-01</t>
  </si>
  <si>
    <t>2026-01-01</t>
  </si>
  <si>
    <t>Component</t>
  </si>
  <si>
    <t>Correlation with GDP Growth</t>
  </si>
  <si>
    <t>Real GDP per Capita</t>
  </si>
  <si>
    <t>Real Consumption per Capita</t>
  </si>
  <si>
    <t>Dashboard Visuals and Cards to be placed here</t>
  </si>
  <si>
    <t>All figures are in Billions of Domestic Currency (Rupiah), Real, Seasonally Adjusted.</t>
  </si>
  <si>
    <t>Population data interpolated from annual to quarterly.</t>
  </si>
  <si>
    <t>Data Source: FRED (API via Python &amp;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</si>
</sst>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sz val="11"/>
      <color rgb="FF008000"/>
      <name val="Cambria"/>
      <charset val="1"/>
    </font>
    <font>
      <sz val="11"/>
      <color rgb="FF00000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4" fillId="0" borderId="0" xfId="0" applyNumberFormat="1" applyFont="1"/>
    <xf numFmtId="0" fontId="2" fillId="0" borderId="0" xfId="0" applyFont="1"/>
    <xf numFmtId="2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Normal="100" workbookViewId="0">
      <selection activeCell="J30" sqref="J30"/>
    </sheetView>
  </sheetViews>
  <sheetFormatPr baseColWidth="10" defaultColWidth="8.6640625" defaultRowHeight="15" customHeight="1" x14ac:dyDescent="0.2"/>
  <cols>
    <col min="2" max="2" width="13.5" bestFit="1" customWidth="1"/>
    <col min="3" max="3" width="24" bestFit="1" customWidth="1"/>
    <col min="4" max="4" width="28.6640625" bestFit="1" customWidth="1"/>
    <col min="5" max="5" width="15.33203125" bestFit="1" customWidth="1"/>
    <col min="6" max="6" width="12.1640625" bestFit="1" customWidth="1"/>
    <col min="7" max="7" width="12.33203125" bestFit="1" customWidth="1"/>
    <col min="8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1012908548.9</v>
      </c>
      <c r="C2" s="2">
        <v>627061835.39999998</v>
      </c>
      <c r="D2" s="2">
        <v>70404080.700000003</v>
      </c>
      <c r="E2" s="2">
        <v>246110850.19999999</v>
      </c>
      <c r="F2" s="2">
        <v>178102474.30000001</v>
      </c>
      <c r="G2" s="2">
        <v>148270649</v>
      </c>
      <c r="H2" s="2">
        <v>216077790</v>
      </c>
    </row>
    <row r="3" spans="1:8" x14ac:dyDescent="0.2">
      <c r="A3" t="s">
        <v>9</v>
      </c>
      <c r="B3" s="2">
        <v>1007085097.4</v>
      </c>
      <c r="C3" s="2">
        <v>638590166.79999995</v>
      </c>
      <c r="D3" s="2">
        <v>71325097.700000003</v>
      </c>
      <c r="E3" s="2">
        <v>268089949.09999999</v>
      </c>
      <c r="F3" s="2">
        <v>205670313.09999999</v>
      </c>
      <c r="G3" s="2">
        <v>160900982.40000001</v>
      </c>
      <c r="H3" s="2">
        <v>216832818</v>
      </c>
    </row>
    <row r="4" spans="1:8" x14ac:dyDescent="0.2">
      <c r="A4" t="s">
        <v>10</v>
      </c>
      <c r="B4" s="2">
        <v>1031621787.4</v>
      </c>
      <c r="C4" s="2">
        <v>637339229.60000002</v>
      </c>
      <c r="D4" s="2">
        <v>71942504.599999994</v>
      </c>
      <c r="E4" s="2">
        <v>274181594.10000002</v>
      </c>
      <c r="F4" s="2">
        <v>212275812.19999999</v>
      </c>
      <c r="G4" s="2">
        <v>192159570.5</v>
      </c>
      <c r="H4" s="2">
        <v>217587846</v>
      </c>
    </row>
    <row r="5" spans="1:8" x14ac:dyDescent="0.2">
      <c r="A5" t="s">
        <v>11</v>
      </c>
      <c r="B5" s="2">
        <v>1061287238.5</v>
      </c>
      <c r="C5" s="2">
        <v>643440117.29999995</v>
      </c>
      <c r="D5" s="2">
        <v>73047402.700000003</v>
      </c>
      <c r="E5" s="2">
        <v>283717658.30000001</v>
      </c>
      <c r="F5" s="2">
        <v>218841829.80000001</v>
      </c>
      <c r="G5" s="2">
        <v>237166047.80000001</v>
      </c>
      <c r="H5" s="2">
        <v>218342874</v>
      </c>
    </row>
    <row r="6" spans="1:8" x14ac:dyDescent="0.2">
      <c r="A6" t="s">
        <v>12</v>
      </c>
      <c r="B6" s="2">
        <v>1053724548.7</v>
      </c>
      <c r="C6" s="2">
        <v>648801720.89999998</v>
      </c>
      <c r="D6" s="2">
        <v>74656611.099999994</v>
      </c>
      <c r="E6" s="2">
        <v>292252078.80000001</v>
      </c>
      <c r="F6" s="2">
        <v>211900369.30000001</v>
      </c>
      <c r="G6" s="2">
        <v>206495720.40000001</v>
      </c>
      <c r="H6" s="2">
        <v>219097902</v>
      </c>
    </row>
    <row r="7" spans="1:8" x14ac:dyDescent="0.2">
      <c r="A7" t="s">
        <v>13</v>
      </c>
      <c r="B7" s="2">
        <v>1064503041.7</v>
      </c>
      <c r="C7" s="2">
        <v>655332051.10000002</v>
      </c>
      <c r="D7" s="2">
        <v>76038165.400000006</v>
      </c>
      <c r="E7" s="2">
        <v>297938319.39999998</v>
      </c>
      <c r="F7" s="2">
        <v>212782662.69999999</v>
      </c>
      <c r="G7" s="2">
        <v>212201255.80000001</v>
      </c>
      <c r="H7" s="2">
        <v>219845550.25</v>
      </c>
    </row>
    <row r="8" spans="1:8" x14ac:dyDescent="0.2">
      <c r="A8" t="s">
        <v>14</v>
      </c>
      <c r="B8" s="2">
        <v>1064723806.5</v>
      </c>
      <c r="C8" s="2">
        <v>662548295.5</v>
      </c>
      <c r="D8" s="2">
        <v>77743342.200000003</v>
      </c>
      <c r="E8" s="2">
        <v>273451843.69999999</v>
      </c>
      <c r="F8" s="2">
        <v>200475950.80000001</v>
      </c>
      <c r="G8" s="2">
        <v>181480336.5</v>
      </c>
      <c r="H8" s="2">
        <v>220593198.5</v>
      </c>
    </row>
    <row r="9" spans="1:8" x14ac:dyDescent="0.2">
      <c r="A9" t="s">
        <v>15</v>
      </c>
      <c r="B9" s="2">
        <v>1079803504.2</v>
      </c>
      <c r="C9" s="2">
        <v>668725062.5</v>
      </c>
      <c r="D9" s="2">
        <v>79967525.5</v>
      </c>
      <c r="E9" s="2">
        <v>278063567.89999998</v>
      </c>
      <c r="F9" s="2">
        <v>194987329.09999999</v>
      </c>
      <c r="G9" s="2">
        <v>169188095.90000001</v>
      </c>
      <c r="H9" s="2">
        <v>221340846.75</v>
      </c>
    </row>
    <row r="10" spans="1:8" x14ac:dyDescent="0.2">
      <c r="A10" t="s">
        <v>16</v>
      </c>
      <c r="B10" s="2">
        <v>1092967373.4000001</v>
      </c>
      <c r="C10" s="2">
        <v>675684500.20000005</v>
      </c>
      <c r="D10" s="2">
        <v>83111699.200000003</v>
      </c>
      <c r="E10" s="2">
        <v>284791560</v>
      </c>
      <c r="F10" s="2">
        <v>200945229.90000001</v>
      </c>
      <c r="G10" s="2">
        <v>177455670.5</v>
      </c>
      <c r="H10" s="2">
        <v>222088495</v>
      </c>
    </row>
    <row r="11" spans="1:8" x14ac:dyDescent="0.2">
      <c r="A11" t="s">
        <v>17</v>
      </c>
      <c r="B11" s="2">
        <v>1107016689.4000001</v>
      </c>
      <c r="C11" s="2">
        <v>681635322.10000002</v>
      </c>
      <c r="D11" s="2">
        <v>85630889.900000006</v>
      </c>
      <c r="E11" s="2">
        <v>294014158.60000002</v>
      </c>
      <c r="F11" s="2">
        <v>200003461.09999999</v>
      </c>
      <c r="G11" s="2">
        <v>178999767.59999999</v>
      </c>
      <c r="H11" s="2">
        <v>222828373.25</v>
      </c>
    </row>
    <row r="12" spans="1:8" x14ac:dyDescent="0.2">
      <c r="A12" t="s">
        <v>18</v>
      </c>
      <c r="B12" s="2">
        <v>1121225595.5999999</v>
      </c>
      <c r="C12" s="2">
        <v>686468286.89999998</v>
      </c>
      <c r="D12" s="2">
        <v>88829850.299999997</v>
      </c>
      <c r="E12" s="2">
        <v>303355174.5</v>
      </c>
      <c r="F12" s="2">
        <v>205226316.30000001</v>
      </c>
      <c r="G12" s="2">
        <v>186902557.69999999</v>
      </c>
      <c r="H12" s="2">
        <v>223568251.5</v>
      </c>
    </row>
    <row r="13" spans="1:8" x14ac:dyDescent="0.2">
      <c r="A13" t="s">
        <v>19</v>
      </c>
      <c r="B13" s="2">
        <v>1133346850.7</v>
      </c>
      <c r="C13" s="2">
        <v>692708504.29999995</v>
      </c>
      <c r="D13" s="2">
        <v>90905787.900000006</v>
      </c>
      <c r="E13" s="2">
        <v>313141525.30000001</v>
      </c>
      <c r="F13" s="2">
        <v>203990694.09999999</v>
      </c>
      <c r="G13" s="2">
        <v>193313587.19999999</v>
      </c>
      <c r="H13" s="2">
        <v>224308129.75</v>
      </c>
    </row>
    <row r="14" spans="1:8" x14ac:dyDescent="0.2">
      <c r="A14" t="s">
        <v>20</v>
      </c>
      <c r="B14" s="2">
        <v>1148138310.8</v>
      </c>
      <c r="C14" s="2">
        <v>698573787.29999995</v>
      </c>
      <c r="D14" s="2">
        <v>91865825.900000006</v>
      </c>
      <c r="E14" s="2">
        <v>289849373.69999999</v>
      </c>
      <c r="F14" s="2">
        <v>214146218.19999999</v>
      </c>
      <c r="G14" s="2">
        <v>186275044.80000001</v>
      </c>
      <c r="H14" s="2">
        <v>225048008</v>
      </c>
    </row>
    <row r="15" spans="1:8" x14ac:dyDescent="0.2">
      <c r="A15" t="s">
        <v>21</v>
      </c>
      <c r="B15" s="2">
        <v>1161156638.7</v>
      </c>
      <c r="C15" s="2">
        <v>705446067.20000005</v>
      </c>
      <c r="D15" s="2">
        <v>94765506.299999997</v>
      </c>
      <c r="E15" s="2">
        <v>295219061.89999998</v>
      </c>
      <c r="F15" s="2">
        <v>219464920.80000001</v>
      </c>
      <c r="G15" s="2">
        <v>178650684.09999999</v>
      </c>
      <c r="H15" s="2">
        <v>225767668.25</v>
      </c>
    </row>
    <row r="16" spans="1:8" x14ac:dyDescent="0.2">
      <c r="A16" t="s">
        <v>22</v>
      </c>
      <c r="B16" s="2">
        <v>1173320795.5999999</v>
      </c>
      <c r="C16" s="2">
        <v>712719244.39999998</v>
      </c>
      <c r="D16" s="2">
        <v>97537033.099999994</v>
      </c>
      <c r="E16" s="2">
        <v>304198412</v>
      </c>
      <c r="F16" s="2">
        <v>210332904.59999999</v>
      </c>
      <c r="G16" s="2">
        <v>187173311.19999999</v>
      </c>
      <c r="H16" s="2">
        <v>226487328.5</v>
      </c>
    </row>
    <row r="17" spans="1:8" x14ac:dyDescent="0.2">
      <c r="A17" t="s">
        <v>23</v>
      </c>
      <c r="B17" s="2">
        <v>1184885007.8</v>
      </c>
      <c r="C17" s="2">
        <v>726286409.39999998</v>
      </c>
      <c r="D17" s="2">
        <v>99274988</v>
      </c>
      <c r="E17" s="2">
        <v>313211241.80000001</v>
      </c>
      <c r="F17" s="2">
        <v>213911088.69999999</v>
      </c>
      <c r="G17" s="2">
        <v>196092124.5</v>
      </c>
      <c r="H17" s="2">
        <v>227206988.75</v>
      </c>
    </row>
    <row r="18" spans="1:8" x14ac:dyDescent="0.2">
      <c r="A18" t="s">
        <v>24</v>
      </c>
      <c r="B18" s="2">
        <v>1198807260.5999999</v>
      </c>
      <c r="C18" s="2">
        <v>737630503</v>
      </c>
      <c r="D18" s="2">
        <v>101359571.7</v>
      </c>
      <c r="E18" s="2">
        <v>322914588.69999999</v>
      </c>
      <c r="F18" s="2">
        <v>221253040.59999999</v>
      </c>
      <c r="G18" s="2">
        <v>219407449</v>
      </c>
      <c r="H18" s="2">
        <v>227926649</v>
      </c>
    </row>
    <row r="19" spans="1:8" x14ac:dyDescent="0.2">
      <c r="A19" t="s">
        <v>25</v>
      </c>
      <c r="B19" s="2">
        <v>1213143896.8</v>
      </c>
      <c r="C19" s="2">
        <v>742824012.39999998</v>
      </c>
      <c r="D19" s="2">
        <v>100674398.90000001</v>
      </c>
      <c r="E19" s="2">
        <v>333347591.60000002</v>
      </c>
      <c r="F19" s="2">
        <v>232159642.80000001</v>
      </c>
      <c r="G19" s="2">
        <v>225720260.59999999</v>
      </c>
      <c r="H19" s="2">
        <v>228662899.25</v>
      </c>
    </row>
    <row r="20" spans="1:8" x14ac:dyDescent="0.2">
      <c r="A20" t="s">
        <v>26</v>
      </c>
      <c r="B20" s="2">
        <v>1227905795.3</v>
      </c>
      <c r="C20" s="2">
        <v>748311787.29999995</v>
      </c>
      <c r="D20" s="2">
        <v>98985856.599999994</v>
      </c>
      <c r="E20" s="2">
        <v>357258452</v>
      </c>
      <c r="F20" s="2">
        <v>257374950.5</v>
      </c>
      <c r="G20" s="2">
        <v>245340638.09999999</v>
      </c>
      <c r="H20" s="2">
        <v>229399149.5</v>
      </c>
    </row>
    <row r="21" spans="1:8" x14ac:dyDescent="0.2">
      <c r="A21" t="s">
        <v>27</v>
      </c>
      <c r="B21" s="2">
        <v>1262459879.8</v>
      </c>
      <c r="C21" s="2">
        <v>755477055.10000002</v>
      </c>
      <c r="D21" s="2">
        <v>97724420.5</v>
      </c>
      <c r="E21" s="2">
        <v>365520935.30000001</v>
      </c>
      <c r="F21" s="2">
        <v>263120890</v>
      </c>
      <c r="G21" s="2">
        <v>257140393.59999999</v>
      </c>
      <c r="H21" s="2">
        <v>230135399.75</v>
      </c>
    </row>
    <row r="22" spans="1:8" x14ac:dyDescent="0.2">
      <c r="A22" t="s">
        <v>28</v>
      </c>
      <c r="B22" s="2">
        <v>1272698656.9000001</v>
      </c>
      <c r="C22" s="2">
        <v>763611575.79999995</v>
      </c>
      <c r="D22" s="2">
        <v>97388090</v>
      </c>
      <c r="E22" s="2">
        <v>374402747.30000001</v>
      </c>
      <c r="F22" s="2">
        <v>270092851.89999998</v>
      </c>
      <c r="G22" s="2">
        <v>268195402.69999999</v>
      </c>
      <c r="H22" s="2">
        <v>230871650</v>
      </c>
    </row>
    <row r="23" spans="1:8" x14ac:dyDescent="0.2">
      <c r="A23" t="s">
        <v>29</v>
      </c>
      <c r="B23" s="2">
        <v>1287273733.3</v>
      </c>
      <c r="C23" s="2">
        <v>771394960.20000005</v>
      </c>
      <c r="D23" s="2">
        <v>96108300.299999997</v>
      </c>
      <c r="E23" s="2">
        <v>386160790.69999999</v>
      </c>
      <c r="F23" s="2">
        <v>274309119.39999998</v>
      </c>
      <c r="G23" s="2">
        <v>279000767.30000001</v>
      </c>
      <c r="H23" s="2">
        <v>231641650.5</v>
      </c>
    </row>
    <row r="24" spans="1:8" x14ac:dyDescent="0.2">
      <c r="A24" t="s">
        <v>30</v>
      </c>
      <c r="B24" s="2">
        <v>1301458227.9000001</v>
      </c>
      <c r="C24" s="2">
        <v>780436992.60000002</v>
      </c>
      <c r="D24" s="2">
        <v>115347599.2</v>
      </c>
      <c r="E24" s="2">
        <v>393661092.5</v>
      </c>
      <c r="F24" s="2">
        <v>288993096.19999999</v>
      </c>
      <c r="G24" s="2">
        <v>288881871.80000001</v>
      </c>
      <c r="H24" s="2">
        <v>232411651</v>
      </c>
    </row>
    <row r="25" spans="1:8" x14ac:dyDescent="0.2">
      <c r="A25" t="s">
        <v>31</v>
      </c>
      <c r="B25" s="2">
        <v>1319954094.9000001</v>
      </c>
      <c r="C25" s="2">
        <v>786777880.20000005</v>
      </c>
      <c r="D25" s="2">
        <v>116358219.40000001</v>
      </c>
      <c r="E25" s="2">
        <v>374954981.39999998</v>
      </c>
      <c r="F25" s="2">
        <v>302195050.39999998</v>
      </c>
      <c r="G25" s="2">
        <v>279910896.60000002</v>
      </c>
      <c r="H25" s="2">
        <v>233181651.5</v>
      </c>
    </row>
    <row r="26" spans="1:8" x14ac:dyDescent="0.2">
      <c r="A26" t="s">
        <v>32</v>
      </c>
      <c r="B26" s="2">
        <v>1337393578.3</v>
      </c>
      <c r="C26" s="2">
        <v>787029553.89999998</v>
      </c>
      <c r="D26" s="2">
        <v>114904966.59999999</v>
      </c>
      <c r="E26" s="2">
        <v>381645836.60000002</v>
      </c>
      <c r="F26" s="2">
        <v>301704743</v>
      </c>
      <c r="G26" s="2">
        <v>281200638.89999998</v>
      </c>
      <c r="H26" s="2">
        <v>233951652</v>
      </c>
    </row>
    <row r="27" spans="1:8" x14ac:dyDescent="0.2">
      <c r="A27" t="s">
        <v>33</v>
      </c>
      <c r="B27" s="2">
        <v>1354469278.2</v>
      </c>
      <c r="C27" s="2">
        <v>795653746.70000005</v>
      </c>
      <c r="D27" s="2">
        <v>116800611.90000001</v>
      </c>
      <c r="E27" s="2">
        <v>389964375.69999999</v>
      </c>
      <c r="F27" s="2">
        <v>305499256</v>
      </c>
      <c r="G27" s="2">
        <v>304816723</v>
      </c>
      <c r="H27" s="2">
        <v>234729323.25</v>
      </c>
    </row>
    <row r="28" spans="1:8" x14ac:dyDescent="0.2">
      <c r="A28" t="s">
        <v>34</v>
      </c>
      <c r="B28" s="2">
        <v>1376301897.3</v>
      </c>
      <c r="C28" s="2">
        <v>803827059.79999995</v>
      </c>
      <c r="D28" s="2">
        <v>116464936.5</v>
      </c>
      <c r="E28" s="2">
        <v>395979510.5</v>
      </c>
      <c r="F28" s="2">
        <v>313740683.19999999</v>
      </c>
      <c r="G28" s="2">
        <v>320226466</v>
      </c>
      <c r="H28" s="2">
        <v>235506994.5</v>
      </c>
    </row>
    <row r="29" spans="1:8" x14ac:dyDescent="0.2">
      <c r="A29" t="s">
        <v>35</v>
      </c>
      <c r="B29" s="2">
        <v>1398245434.2</v>
      </c>
      <c r="C29" s="2">
        <v>814153640.5</v>
      </c>
      <c r="D29" s="2">
        <v>117895457.59999999</v>
      </c>
      <c r="E29" s="2">
        <v>401300709.5</v>
      </c>
      <c r="F29" s="2">
        <v>321453705.69999999</v>
      </c>
      <c r="G29" s="2">
        <v>305526752.89999998</v>
      </c>
      <c r="H29" s="2">
        <v>236284665.75</v>
      </c>
    </row>
    <row r="30" spans="1:8" x14ac:dyDescent="0.2">
      <c r="A30" t="s">
        <v>36</v>
      </c>
      <c r="B30" s="2">
        <v>1420985934.2</v>
      </c>
      <c r="C30" s="2">
        <v>823357924.20000005</v>
      </c>
      <c r="D30" s="2">
        <v>119066270.40000001</v>
      </c>
      <c r="E30" s="2">
        <v>409871941.5</v>
      </c>
      <c r="F30" s="2">
        <v>327487058.89999998</v>
      </c>
      <c r="G30" s="2">
        <v>305116959.19999999</v>
      </c>
      <c r="H30" s="2">
        <v>237062337</v>
      </c>
    </row>
    <row r="31" spans="1:8" x14ac:dyDescent="0.2">
      <c r="A31" t="s">
        <v>37</v>
      </c>
      <c r="B31" s="2">
        <v>1444669538.5999999</v>
      </c>
      <c r="C31" s="2">
        <v>834057199.29999995</v>
      </c>
      <c r="D31" s="2">
        <v>120311252.59999999</v>
      </c>
      <c r="E31" s="2">
        <v>421378443.5</v>
      </c>
      <c r="F31" s="2">
        <v>336773674.60000002</v>
      </c>
      <c r="G31" s="2">
        <v>324706458.30000001</v>
      </c>
      <c r="H31" s="2">
        <v>237836228.5</v>
      </c>
    </row>
    <row r="32" spans="1:8" x14ac:dyDescent="0.2">
      <c r="A32" t="s">
        <v>38</v>
      </c>
      <c r="B32" s="2">
        <v>1467445669</v>
      </c>
      <c r="C32" s="2">
        <v>845610326.29999995</v>
      </c>
      <c r="D32" s="2">
        <v>121495969.2</v>
      </c>
      <c r="E32" s="2">
        <v>433392453.69999999</v>
      </c>
      <c r="F32" s="2">
        <v>337847515</v>
      </c>
      <c r="G32" s="2">
        <v>342568857.60000002</v>
      </c>
      <c r="H32" s="2">
        <v>238610120</v>
      </c>
    </row>
    <row r="33" spans="1:8" x14ac:dyDescent="0.2">
      <c r="A33" t="s">
        <v>39</v>
      </c>
      <c r="B33" s="2">
        <v>1480153989</v>
      </c>
      <c r="C33" s="2">
        <v>857887505.79999995</v>
      </c>
      <c r="D33" s="2">
        <v>123340361.40000001</v>
      </c>
      <c r="E33" s="2">
        <v>450529467.89999998</v>
      </c>
      <c r="F33" s="2">
        <v>346428027.30000001</v>
      </c>
      <c r="G33" s="2">
        <v>349216273</v>
      </c>
      <c r="H33" s="2">
        <v>239384011.5</v>
      </c>
    </row>
    <row r="34" spans="1:8" x14ac:dyDescent="0.2">
      <c r="A34" t="s">
        <v>40</v>
      </c>
      <c r="B34" s="2">
        <v>1513071211.2</v>
      </c>
      <c r="C34" s="2">
        <v>869208006</v>
      </c>
      <c r="D34" s="2">
        <v>134053510</v>
      </c>
      <c r="E34" s="2">
        <v>469261109.5</v>
      </c>
      <c r="F34" s="2">
        <v>381499312.30000001</v>
      </c>
      <c r="G34" s="2">
        <v>375345170.39999998</v>
      </c>
      <c r="H34" s="2">
        <v>240157903</v>
      </c>
    </row>
    <row r="35" spans="1:8" x14ac:dyDescent="0.2">
      <c r="A35" t="s">
        <v>41</v>
      </c>
      <c r="B35" s="2">
        <v>1535483757.5</v>
      </c>
      <c r="C35" s="2">
        <v>880483897.79999995</v>
      </c>
      <c r="D35" s="2">
        <v>130637615.40000001</v>
      </c>
      <c r="E35" s="2">
        <v>477217795.80000001</v>
      </c>
      <c r="F35" s="2">
        <v>374735364.69999999</v>
      </c>
      <c r="G35" s="2">
        <v>373200970.19999999</v>
      </c>
      <c r="H35" s="2">
        <v>240923434.25</v>
      </c>
    </row>
    <row r="36" spans="1:8" x14ac:dyDescent="0.2">
      <c r="A36" t="s">
        <v>42</v>
      </c>
      <c r="B36" s="2">
        <v>1555822432.3</v>
      </c>
      <c r="C36" s="2">
        <v>889771759.5</v>
      </c>
      <c r="D36" s="2">
        <v>138178177.09999999</v>
      </c>
      <c r="E36" s="2">
        <v>482939767.60000002</v>
      </c>
      <c r="F36" s="2">
        <v>366375712.60000002</v>
      </c>
      <c r="G36" s="2">
        <v>361480786.69999999</v>
      </c>
      <c r="H36" s="2">
        <v>241688965.5</v>
      </c>
    </row>
    <row r="37" spans="1:8" x14ac:dyDescent="0.2">
      <c r="A37" t="s">
        <v>43</v>
      </c>
      <c r="B37" s="2">
        <v>1558469599</v>
      </c>
      <c r="C37" s="2">
        <v>900792656.20000005</v>
      </c>
      <c r="D37" s="2">
        <v>131839871.7</v>
      </c>
      <c r="E37" s="2">
        <v>489621191.19999999</v>
      </c>
      <c r="F37" s="2">
        <v>354488166.39999998</v>
      </c>
      <c r="G37" s="2">
        <v>343776284.80000001</v>
      </c>
      <c r="H37" s="2">
        <v>242454496.75</v>
      </c>
    </row>
    <row r="38" spans="1:8" x14ac:dyDescent="0.2">
      <c r="A38" t="s">
        <v>44</v>
      </c>
      <c r="B38" s="2">
        <v>1579736481.2</v>
      </c>
      <c r="C38" s="2">
        <v>912485762.70000005</v>
      </c>
      <c r="D38" s="2">
        <v>150310919.40000001</v>
      </c>
      <c r="E38" s="2">
        <v>493338596.60000002</v>
      </c>
      <c r="F38" s="2">
        <v>341445889.10000002</v>
      </c>
      <c r="G38" s="2">
        <v>323738244.30000001</v>
      </c>
      <c r="H38" s="2">
        <v>243220028</v>
      </c>
    </row>
    <row r="39" spans="1:8" x14ac:dyDescent="0.2">
      <c r="A39" t="s">
        <v>45</v>
      </c>
      <c r="B39" s="2">
        <v>1599686188.7</v>
      </c>
      <c r="C39" s="2">
        <v>921303714.39999998</v>
      </c>
      <c r="D39" s="2">
        <v>147651363.30000001</v>
      </c>
      <c r="E39" s="2">
        <v>494556171.69999999</v>
      </c>
      <c r="F39" s="2">
        <v>354302800.30000001</v>
      </c>
      <c r="G39" s="2">
        <v>320599583.5</v>
      </c>
      <c r="H39" s="2">
        <v>243991351.5</v>
      </c>
    </row>
    <row r="40" spans="1:8" x14ac:dyDescent="0.2">
      <c r="A40" t="s">
        <v>46</v>
      </c>
      <c r="B40" s="2">
        <v>1624635349.7</v>
      </c>
      <c r="C40" s="2">
        <v>931632949.70000005</v>
      </c>
      <c r="D40" s="2">
        <v>140613054.80000001</v>
      </c>
      <c r="E40" s="2">
        <v>501248031</v>
      </c>
      <c r="F40" s="2">
        <v>368303978.10000002</v>
      </c>
      <c r="G40" s="2">
        <v>330650105.10000002</v>
      </c>
      <c r="H40" s="2">
        <v>244762675</v>
      </c>
    </row>
    <row r="41" spans="1:8" x14ac:dyDescent="0.2">
      <c r="A41" t="s">
        <v>47</v>
      </c>
      <c r="B41" s="2">
        <v>1648551780.5</v>
      </c>
      <c r="C41" s="2">
        <v>941550207.70000005</v>
      </c>
      <c r="D41" s="2">
        <v>155858663.59999999</v>
      </c>
      <c r="E41" s="2">
        <v>505216912.39999998</v>
      </c>
      <c r="F41" s="2">
        <v>382830899.10000002</v>
      </c>
      <c r="G41" s="2">
        <v>343984811.80000001</v>
      </c>
      <c r="H41" s="2">
        <v>245533998.5</v>
      </c>
    </row>
    <row r="42" spans="1:8" x14ac:dyDescent="0.2">
      <c r="A42" t="s">
        <v>48</v>
      </c>
      <c r="B42" s="2">
        <v>1675172557</v>
      </c>
      <c r="C42" s="2">
        <v>951153544.79999995</v>
      </c>
      <c r="D42" s="2">
        <v>144679966.59999999</v>
      </c>
      <c r="E42" s="2">
        <v>514500739.19999999</v>
      </c>
      <c r="F42" s="2">
        <v>403612987.30000001</v>
      </c>
      <c r="G42" s="2">
        <v>365473334.30000001</v>
      </c>
      <c r="H42" s="2">
        <v>246305322</v>
      </c>
    </row>
    <row r="43" spans="1:8" x14ac:dyDescent="0.2">
      <c r="A43" t="s">
        <v>49</v>
      </c>
      <c r="B43" s="2">
        <v>1703433185.8</v>
      </c>
      <c r="C43" s="2">
        <v>962040949.60000002</v>
      </c>
      <c r="D43" s="2">
        <v>147279693.80000001</v>
      </c>
      <c r="E43" s="2">
        <v>527650656.5</v>
      </c>
      <c r="F43" s="2">
        <v>404901214.89999998</v>
      </c>
      <c r="G43" s="2">
        <v>378463115.39999998</v>
      </c>
      <c r="H43" s="2">
        <v>247096499.5</v>
      </c>
    </row>
    <row r="44" spans="1:8" x14ac:dyDescent="0.2">
      <c r="A44" t="s">
        <v>50</v>
      </c>
      <c r="B44" s="2">
        <v>1728907813.0999999</v>
      </c>
      <c r="C44" s="2">
        <v>965860559.29999995</v>
      </c>
      <c r="D44" s="2">
        <v>161277015.30000001</v>
      </c>
      <c r="E44" s="2">
        <v>536620562.39999998</v>
      </c>
      <c r="F44" s="2">
        <v>413552872.60000002</v>
      </c>
      <c r="G44" s="2">
        <v>387156504.60000002</v>
      </c>
      <c r="H44" s="2">
        <v>247887677</v>
      </c>
    </row>
    <row r="45" spans="1:8" x14ac:dyDescent="0.2">
      <c r="A45" t="s">
        <v>51</v>
      </c>
      <c r="B45" s="2">
        <v>1756619544.0999999</v>
      </c>
      <c r="C45" s="2">
        <v>979766718.10000002</v>
      </c>
      <c r="D45" s="2">
        <v>164941314.30000001</v>
      </c>
      <c r="E45" s="2">
        <v>549068723.89999998</v>
      </c>
      <c r="F45" s="2">
        <v>445850750.69999999</v>
      </c>
      <c r="G45" s="2">
        <v>406626818.5</v>
      </c>
      <c r="H45" s="2">
        <v>248678854.5</v>
      </c>
    </row>
    <row r="46" spans="1:8" x14ac:dyDescent="0.2">
      <c r="A46" t="s">
        <v>52</v>
      </c>
      <c r="B46" s="2">
        <v>1782182595.5999999</v>
      </c>
      <c r="C46" s="2">
        <v>992750203.20000005</v>
      </c>
      <c r="D46" s="2">
        <v>157363106.40000001</v>
      </c>
      <c r="E46" s="2">
        <v>562380421.79999995</v>
      </c>
      <c r="F46" s="2">
        <v>454396576.5</v>
      </c>
      <c r="G46" s="2">
        <v>420203996.80000001</v>
      </c>
      <c r="H46" s="2">
        <v>249470032</v>
      </c>
    </row>
    <row r="47" spans="1:8" x14ac:dyDescent="0.2">
      <c r="A47" t="s">
        <v>53</v>
      </c>
      <c r="B47" s="2">
        <v>1807970614.5</v>
      </c>
      <c r="C47" s="2">
        <v>1006631199.8</v>
      </c>
      <c r="D47" s="2">
        <v>157380353.30000001</v>
      </c>
      <c r="E47" s="2">
        <v>572131769.29999995</v>
      </c>
      <c r="F47" s="2">
        <v>479241510.69999999</v>
      </c>
      <c r="G47" s="2">
        <v>430412968.69999999</v>
      </c>
      <c r="H47" s="2">
        <v>250277155.25</v>
      </c>
    </row>
    <row r="48" spans="1:8" x14ac:dyDescent="0.2">
      <c r="A48" t="s">
        <v>54</v>
      </c>
      <c r="B48" s="2">
        <v>1835409706.8</v>
      </c>
      <c r="C48" s="2">
        <v>1020539755.1</v>
      </c>
      <c r="D48" s="2">
        <v>167790132</v>
      </c>
      <c r="E48" s="2">
        <v>584052992.10000002</v>
      </c>
      <c r="F48" s="2">
        <v>494177314</v>
      </c>
      <c r="G48" s="2">
        <v>457903885.60000002</v>
      </c>
      <c r="H48" s="2">
        <v>251084278.5</v>
      </c>
    </row>
    <row r="49" spans="1:8" x14ac:dyDescent="0.2">
      <c r="A49" t="s">
        <v>55</v>
      </c>
      <c r="B49" s="2">
        <v>1862072383.0999999</v>
      </c>
      <c r="C49" s="2">
        <v>1034157736.7</v>
      </c>
      <c r="D49" s="2">
        <v>169758098.40000001</v>
      </c>
      <c r="E49" s="2">
        <v>597793920.89999998</v>
      </c>
      <c r="F49" s="2">
        <v>486452540.19999999</v>
      </c>
      <c r="G49" s="2">
        <v>460301022.69999999</v>
      </c>
      <c r="H49" s="2">
        <v>251891401.75</v>
      </c>
    </row>
    <row r="50" spans="1:8" x14ac:dyDescent="0.2">
      <c r="A50" t="s">
        <v>56</v>
      </c>
      <c r="B50" s="2">
        <v>1890327515.5</v>
      </c>
      <c r="C50" s="2">
        <v>1047832101</v>
      </c>
      <c r="D50" s="2">
        <v>167959720.40000001</v>
      </c>
      <c r="E50" s="2">
        <v>611625618.29999995</v>
      </c>
      <c r="F50" s="2">
        <v>486705840.80000001</v>
      </c>
      <c r="G50" s="2">
        <v>468140678</v>
      </c>
      <c r="H50" s="2">
        <v>252698525</v>
      </c>
    </row>
    <row r="51" spans="1:8" x14ac:dyDescent="0.2">
      <c r="A51" t="s">
        <v>57</v>
      </c>
      <c r="B51" s="2">
        <v>1918317446.2</v>
      </c>
      <c r="C51" s="2">
        <v>1062466456.5</v>
      </c>
      <c r="D51" s="2">
        <v>180558544.69999999</v>
      </c>
      <c r="E51" s="2">
        <v>626320636.29999995</v>
      </c>
      <c r="F51" s="2">
        <v>486946475.89999998</v>
      </c>
      <c r="G51" s="2">
        <v>484899063.80000001</v>
      </c>
      <c r="H51" s="2">
        <v>253487010.5</v>
      </c>
    </row>
    <row r="52" spans="1:8" x14ac:dyDescent="0.2">
      <c r="A52" t="s">
        <v>58</v>
      </c>
      <c r="B52" s="2">
        <v>1945632295.8</v>
      </c>
      <c r="C52" s="2">
        <v>1076661800.7</v>
      </c>
      <c r="D52" s="2">
        <v>163501646.40000001</v>
      </c>
      <c r="E52" s="2">
        <v>639470776.39999998</v>
      </c>
      <c r="F52" s="2">
        <v>486175780.39999998</v>
      </c>
      <c r="G52" s="2">
        <v>468704922.19999999</v>
      </c>
      <c r="H52" s="2">
        <v>254275496</v>
      </c>
    </row>
    <row r="53" spans="1:8" x14ac:dyDescent="0.2">
      <c r="A53" t="s">
        <v>59</v>
      </c>
      <c r="B53" s="2">
        <v>1972806142.5</v>
      </c>
      <c r="C53" s="2">
        <v>1090745857.2</v>
      </c>
      <c r="D53" s="2">
        <v>169799088.5</v>
      </c>
      <c r="E53" s="2">
        <v>650311759.5</v>
      </c>
      <c r="F53" s="2">
        <v>485235605.80000001</v>
      </c>
      <c r="G53" s="2">
        <v>488554857</v>
      </c>
      <c r="H53" s="2">
        <v>255063981.5</v>
      </c>
    </row>
    <row r="54" spans="1:8" x14ac:dyDescent="0.2">
      <c r="A54" t="s">
        <v>60</v>
      </c>
      <c r="B54" s="2">
        <v>1999867862.7</v>
      </c>
      <c r="C54" s="2">
        <v>1105713955.5</v>
      </c>
      <c r="D54" s="2">
        <v>173241204.09999999</v>
      </c>
      <c r="E54" s="2">
        <v>654743924.20000005</v>
      </c>
      <c r="F54" s="2">
        <v>497833022.10000002</v>
      </c>
      <c r="G54" s="2">
        <v>479289320.30000001</v>
      </c>
      <c r="H54" s="2">
        <v>255852467</v>
      </c>
    </row>
    <row r="55" spans="1:8" x14ac:dyDescent="0.2">
      <c r="A55" t="s">
        <v>61</v>
      </c>
      <c r="B55" s="2">
        <v>2026008935.3</v>
      </c>
      <c r="C55" s="2">
        <v>1119956670.2</v>
      </c>
      <c r="D55" s="2">
        <v>186621531.5</v>
      </c>
      <c r="E55" s="2">
        <v>660235240.60000002</v>
      </c>
      <c r="F55" s="2">
        <v>503154060.19999999</v>
      </c>
      <c r="G55" s="2">
        <v>486980176.19999999</v>
      </c>
      <c r="H55" s="2">
        <v>256608700</v>
      </c>
    </row>
    <row r="56" spans="1:8" x14ac:dyDescent="0.2">
      <c r="A56" t="s">
        <v>62</v>
      </c>
      <c r="B56" s="2">
        <v>2052231834.9000001</v>
      </c>
      <c r="C56" s="2">
        <v>1135581696.3</v>
      </c>
      <c r="D56" s="2">
        <v>183774958.5</v>
      </c>
      <c r="E56" s="2">
        <v>666876887.89999998</v>
      </c>
      <c r="F56" s="2">
        <v>499562700.30000001</v>
      </c>
      <c r="G56" s="2">
        <v>493401140.60000002</v>
      </c>
      <c r="H56" s="2">
        <v>257364933</v>
      </c>
    </row>
    <row r="57" spans="1:8" x14ac:dyDescent="0.2">
      <c r="A57" t="s">
        <v>63</v>
      </c>
      <c r="B57" s="2">
        <v>2078389167.2</v>
      </c>
      <c r="C57" s="2">
        <v>1150782587.8</v>
      </c>
      <c r="D57" s="2">
        <v>184174385.90000001</v>
      </c>
      <c r="E57" s="2">
        <v>672518984</v>
      </c>
      <c r="F57" s="2">
        <v>525563898.39999998</v>
      </c>
      <c r="G57" s="2">
        <v>486196686.89999998</v>
      </c>
      <c r="H57" s="2">
        <v>258121166</v>
      </c>
    </row>
    <row r="58" spans="1:8" x14ac:dyDescent="0.2">
      <c r="A58" t="s">
        <v>64</v>
      </c>
      <c r="B58" s="2">
        <v>2103242353.3</v>
      </c>
      <c r="C58" s="2">
        <v>1166235972.2</v>
      </c>
      <c r="D58" s="2">
        <v>183022847.40000001</v>
      </c>
      <c r="E58" s="2">
        <v>681798377.20000005</v>
      </c>
      <c r="F58" s="2">
        <v>511382234.10000002</v>
      </c>
      <c r="G58" s="2">
        <v>499002866.60000002</v>
      </c>
      <c r="H58" s="2">
        <v>258877399</v>
      </c>
    </row>
    <row r="59" spans="1:8" x14ac:dyDescent="0.2">
      <c r="A59" t="s">
        <v>65</v>
      </c>
      <c r="B59" s="2">
        <v>2128987700.5</v>
      </c>
      <c r="C59" s="2">
        <v>1181062083.9000001</v>
      </c>
      <c r="D59" s="2">
        <v>182572140.5</v>
      </c>
      <c r="E59" s="2">
        <v>690289668.5</v>
      </c>
      <c r="F59" s="2">
        <v>511350027.30000001</v>
      </c>
      <c r="G59" s="2">
        <v>498460766.10000002</v>
      </c>
      <c r="H59" s="2">
        <v>259607861.5</v>
      </c>
    </row>
    <row r="60" spans="1:8" x14ac:dyDescent="0.2">
      <c r="A60" t="s">
        <v>66</v>
      </c>
      <c r="B60" s="2">
        <v>2154020904.0999999</v>
      </c>
      <c r="C60" s="2">
        <v>1194378364.7</v>
      </c>
      <c r="D60" s="2">
        <v>184650545.5</v>
      </c>
      <c r="E60" s="2">
        <v>696576511.89999998</v>
      </c>
      <c r="F60" s="2">
        <v>515139886.30000001</v>
      </c>
      <c r="G60" s="2">
        <v>493288698.10000002</v>
      </c>
      <c r="H60" s="2">
        <v>260338324</v>
      </c>
    </row>
    <row r="61" spans="1:8" x14ac:dyDescent="0.2">
      <c r="A61" t="s">
        <v>67</v>
      </c>
      <c r="B61" s="2">
        <v>2178615642</v>
      </c>
      <c r="C61" s="2">
        <v>1208762022.4000001</v>
      </c>
      <c r="D61" s="2">
        <v>186037576.5</v>
      </c>
      <c r="E61" s="2">
        <v>703806209.5</v>
      </c>
      <c r="F61" s="2">
        <v>510014953.30000001</v>
      </c>
      <c r="G61" s="2">
        <v>496361588.60000002</v>
      </c>
      <c r="H61" s="2">
        <v>261068786.5</v>
      </c>
    </row>
    <row r="62" spans="1:8" x14ac:dyDescent="0.2">
      <c r="A62" t="s">
        <v>68</v>
      </c>
      <c r="B62" s="2">
        <v>2205428638.0999999</v>
      </c>
      <c r="C62" s="2">
        <v>1222705556.7</v>
      </c>
      <c r="D62" s="2">
        <v>188373213.5</v>
      </c>
      <c r="E62" s="2">
        <v>713720634.60000002</v>
      </c>
      <c r="F62" s="2">
        <v>507852216.10000002</v>
      </c>
      <c r="G62" s="2">
        <v>479008010.60000002</v>
      </c>
      <c r="H62" s="2">
        <v>261799249</v>
      </c>
    </row>
    <row r="63" spans="1:8" x14ac:dyDescent="0.2">
      <c r="A63" t="s">
        <v>69</v>
      </c>
      <c r="B63" s="2">
        <v>2230976381.8000002</v>
      </c>
      <c r="C63" s="2">
        <v>1236943340.2</v>
      </c>
      <c r="D63" s="2">
        <v>188455706.19999999</v>
      </c>
      <c r="E63" s="2">
        <v>723192200.60000002</v>
      </c>
      <c r="F63" s="2">
        <v>503264351.69999999</v>
      </c>
      <c r="G63" s="2">
        <v>467789964.5</v>
      </c>
      <c r="H63" s="2">
        <v>262506291.25</v>
      </c>
    </row>
    <row r="64" spans="1:8" x14ac:dyDescent="0.2">
      <c r="A64" t="s">
        <v>70</v>
      </c>
      <c r="B64" s="2">
        <v>2258579199.3000002</v>
      </c>
      <c r="C64" s="2">
        <v>1252755212.9000001</v>
      </c>
      <c r="D64" s="2">
        <v>198291317.40000001</v>
      </c>
      <c r="E64" s="2">
        <v>732630404.29999995</v>
      </c>
      <c r="F64" s="2">
        <v>506043855.69999999</v>
      </c>
      <c r="G64" s="2">
        <v>464182130.39999998</v>
      </c>
      <c r="H64" s="2">
        <v>263213333.5</v>
      </c>
    </row>
    <row r="65" spans="1:8" x14ac:dyDescent="0.2">
      <c r="A65" t="s">
        <v>71</v>
      </c>
      <c r="B65" s="2">
        <v>2287532880.8000002</v>
      </c>
      <c r="C65" s="2">
        <v>1268026550.5</v>
      </c>
      <c r="D65" s="2">
        <v>200277752.90000001</v>
      </c>
      <c r="E65" s="2">
        <v>741812743.39999998</v>
      </c>
      <c r="F65" s="2">
        <v>487306561.60000002</v>
      </c>
      <c r="G65" s="2">
        <v>451958845.60000002</v>
      </c>
      <c r="H65" s="2">
        <v>263920375.75</v>
      </c>
    </row>
    <row r="66" spans="1:8" x14ac:dyDescent="0.2">
      <c r="A66" t="s">
        <v>72</v>
      </c>
      <c r="B66" s="2">
        <v>2314818296.5</v>
      </c>
      <c r="C66" s="2">
        <v>1283884434.8</v>
      </c>
      <c r="D66" s="2">
        <v>193308707.80000001</v>
      </c>
      <c r="E66" s="2">
        <v>748901460.89999998</v>
      </c>
      <c r="F66" s="2">
        <v>485995717.60000002</v>
      </c>
      <c r="G66" s="2">
        <v>450851733.10000002</v>
      </c>
      <c r="H66" s="2">
        <v>264627418</v>
      </c>
    </row>
    <row r="67" spans="1:8" x14ac:dyDescent="0.2">
      <c r="A67" t="s">
        <v>73</v>
      </c>
      <c r="B67" s="2">
        <v>2344644370.3000002</v>
      </c>
      <c r="C67" s="2">
        <v>1299949831.8</v>
      </c>
      <c r="D67" s="2">
        <v>198382717.40000001</v>
      </c>
      <c r="E67" s="2">
        <v>755699447.20000005</v>
      </c>
      <c r="F67" s="2">
        <v>497418531.10000002</v>
      </c>
      <c r="G67" s="2">
        <v>458965817.89999998</v>
      </c>
      <c r="H67" s="2">
        <v>265307228</v>
      </c>
    </row>
    <row r="68" spans="1:8" x14ac:dyDescent="0.2">
      <c r="A68" t="s">
        <v>74</v>
      </c>
      <c r="B68" s="2">
        <v>2373238785.4000001</v>
      </c>
      <c r="C68" s="2">
        <v>1315958668.7</v>
      </c>
      <c r="D68" s="2">
        <v>190644236.69999999</v>
      </c>
      <c r="E68" s="2">
        <v>763605027.60000002</v>
      </c>
      <c r="F68" s="2">
        <v>480425494.39999998</v>
      </c>
      <c r="G68" s="2">
        <v>445178204.5</v>
      </c>
      <c r="H68" s="2">
        <v>265987038</v>
      </c>
    </row>
    <row r="69" spans="1:8" x14ac:dyDescent="0.2">
      <c r="A69" t="s">
        <v>75</v>
      </c>
      <c r="B69" s="2">
        <v>2401911947.6999998</v>
      </c>
      <c r="C69" s="2">
        <v>1331877304.7</v>
      </c>
      <c r="D69" s="2">
        <v>191968858.09999999</v>
      </c>
      <c r="E69" s="2">
        <v>773378741</v>
      </c>
      <c r="F69" s="2">
        <v>507342895.19999999</v>
      </c>
      <c r="G69" s="2">
        <v>463137407</v>
      </c>
      <c r="H69" s="2">
        <v>266666848</v>
      </c>
    </row>
    <row r="70" spans="1:8" x14ac:dyDescent="0.2">
      <c r="A70" t="s">
        <v>76</v>
      </c>
      <c r="B70" s="2">
        <v>2432412007.9000001</v>
      </c>
      <c r="C70" s="2">
        <v>1348295046</v>
      </c>
      <c r="D70" s="2">
        <v>197259686.80000001</v>
      </c>
      <c r="E70" s="2">
        <v>785378248.39999998</v>
      </c>
      <c r="F70" s="2">
        <v>522532484.30000001</v>
      </c>
      <c r="G70" s="2">
        <v>471216488.39999998</v>
      </c>
      <c r="H70" s="2">
        <v>267346658</v>
      </c>
    </row>
    <row r="71" spans="1:8" x14ac:dyDescent="0.2">
      <c r="A71" t="s">
        <v>77</v>
      </c>
      <c r="B71" s="2">
        <v>2462033897.0999999</v>
      </c>
      <c r="C71" s="2">
        <v>1364249663.9000001</v>
      </c>
      <c r="D71" s="2">
        <v>194918543.80000001</v>
      </c>
      <c r="E71" s="2">
        <v>800052631.70000005</v>
      </c>
      <c r="F71" s="2">
        <v>523210090.69999999</v>
      </c>
      <c r="G71" s="2">
        <v>473414447.60000002</v>
      </c>
      <c r="H71" s="2">
        <v>267997955</v>
      </c>
    </row>
    <row r="72" spans="1:8" x14ac:dyDescent="0.2">
      <c r="A72" t="s">
        <v>78</v>
      </c>
      <c r="B72" s="2">
        <v>2493343946</v>
      </c>
      <c r="C72" s="2">
        <v>1381428663.9000001</v>
      </c>
      <c r="D72" s="2">
        <v>197535300.90000001</v>
      </c>
      <c r="E72" s="2">
        <v>814341954.89999998</v>
      </c>
      <c r="F72" s="2">
        <v>548082743.70000005</v>
      </c>
      <c r="G72" s="2">
        <v>503043942</v>
      </c>
      <c r="H72" s="2">
        <v>268649252</v>
      </c>
    </row>
    <row r="73" spans="1:8" x14ac:dyDescent="0.2">
      <c r="A73" t="s">
        <v>79</v>
      </c>
      <c r="B73" s="2">
        <v>2525138248.9000001</v>
      </c>
      <c r="C73" s="2">
        <v>1398319620</v>
      </c>
      <c r="D73" s="2">
        <v>201042868.5</v>
      </c>
      <c r="E73" s="2">
        <v>828990172.39999998</v>
      </c>
      <c r="F73" s="2">
        <v>552739198.10000002</v>
      </c>
      <c r="G73" s="2">
        <v>517144290.80000001</v>
      </c>
      <c r="H73" s="2">
        <v>269300549</v>
      </c>
    </row>
    <row r="74" spans="1:8" x14ac:dyDescent="0.2">
      <c r="A74" t="s">
        <v>80</v>
      </c>
      <c r="B74" s="2">
        <v>2557067719.8000002</v>
      </c>
      <c r="C74" s="2">
        <v>1415461331.5999999</v>
      </c>
      <c r="D74" s="2">
        <v>202649006.90000001</v>
      </c>
      <c r="E74" s="2">
        <v>843211528.89999998</v>
      </c>
      <c r="F74" s="2">
        <v>564358735.70000005</v>
      </c>
      <c r="G74" s="2">
        <v>543262718.89999998</v>
      </c>
      <c r="H74" s="2">
        <v>269951846</v>
      </c>
    </row>
    <row r="75" spans="1:8" x14ac:dyDescent="0.2">
      <c r="A75" t="s">
        <v>81</v>
      </c>
      <c r="B75" s="2">
        <v>2589853860.0999999</v>
      </c>
      <c r="C75" s="2">
        <v>1434430176.4000001</v>
      </c>
      <c r="D75" s="2">
        <v>205530399.80000001</v>
      </c>
      <c r="E75" s="2">
        <v>855179192.5</v>
      </c>
      <c r="F75" s="2">
        <v>570959992.10000002</v>
      </c>
      <c r="G75" s="2">
        <v>551848008.29999995</v>
      </c>
      <c r="H75" s="2">
        <v>270586229.75</v>
      </c>
    </row>
    <row r="76" spans="1:8" x14ac:dyDescent="0.2">
      <c r="A76" t="s">
        <v>82</v>
      </c>
      <c r="B76" s="2">
        <v>2622737460.5</v>
      </c>
      <c r="C76" s="2">
        <v>1451933809.7</v>
      </c>
      <c r="D76" s="2">
        <v>209552293.40000001</v>
      </c>
      <c r="E76" s="2">
        <v>867371501.60000002</v>
      </c>
      <c r="F76" s="2">
        <v>575577686.10000002</v>
      </c>
      <c r="G76" s="2">
        <v>558100983.70000005</v>
      </c>
      <c r="H76" s="2">
        <v>271220613.5</v>
      </c>
    </row>
    <row r="77" spans="1:8" x14ac:dyDescent="0.2">
      <c r="A77" t="s">
        <v>83</v>
      </c>
      <c r="B77" s="2">
        <v>2656192859.5999999</v>
      </c>
      <c r="C77" s="2">
        <v>1472600793.9000001</v>
      </c>
      <c r="D77" s="2">
        <v>211144879.90000001</v>
      </c>
      <c r="E77" s="2">
        <v>878548028.39999998</v>
      </c>
      <c r="F77" s="2">
        <v>575498479.29999995</v>
      </c>
      <c r="G77" s="2">
        <v>550058229.39999998</v>
      </c>
      <c r="H77" s="2">
        <v>271854997.25</v>
      </c>
    </row>
    <row r="78" spans="1:8" x14ac:dyDescent="0.2">
      <c r="A78" t="s">
        <v>84</v>
      </c>
      <c r="B78" s="2">
        <v>2689375112.4000001</v>
      </c>
      <c r="C78" s="2">
        <v>1494407366.5999999</v>
      </c>
      <c r="D78" s="2">
        <v>211878893.30000001</v>
      </c>
      <c r="E78" s="2">
        <v>889028495.39999998</v>
      </c>
      <c r="F78" s="2">
        <v>567812316.39999998</v>
      </c>
      <c r="G78" s="2">
        <v>524336346.60000002</v>
      </c>
      <c r="H78" s="2">
        <v>272489381</v>
      </c>
    </row>
    <row r="79" spans="1:8" x14ac:dyDescent="0.2">
      <c r="A79" t="s">
        <v>85</v>
      </c>
      <c r="B79" s="2">
        <v>2722616908.9000001</v>
      </c>
      <c r="C79" s="2">
        <v>1515515702.3</v>
      </c>
      <c r="D79" s="2">
        <v>221483835.19999999</v>
      </c>
      <c r="E79" s="2">
        <v>897322988.29999995</v>
      </c>
      <c r="F79" s="2">
        <v>563080257.10000002</v>
      </c>
      <c r="G79" s="2">
        <v>512306854</v>
      </c>
      <c r="H79" s="2">
        <v>273070752.25</v>
      </c>
    </row>
    <row r="80" spans="1:8" x14ac:dyDescent="0.2">
      <c r="A80" t="s">
        <v>86</v>
      </c>
      <c r="B80" s="2">
        <v>2754072774.5</v>
      </c>
      <c r="C80" s="2">
        <v>1522417310.5999999</v>
      </c>
      <c r="D80" s="2">
        <v>210180365.5</v>
      </c>
      <c r="E80" s="2">
        <v>904868147.39999998</v>
      </c>
      <c r="F80" s="2">
        <v>574861098.5</v>
      </c>
      <c r="G80" s="2">
        <v>511006859.80000001</v>
      </c>
      <c r="H80" s="2">
        <v>273652123.5</v>
      </c>
    </row>
    <row r="81" spans="1:8" x14ac:dyDescent="0.2">
      <c r="A81" t="s">
        <v>87</v>
      </c>
      <c r="B81" s="2">
        <v>2783090604.1999998</v>
      </c>
      <c r="C81" s="2">
        <v>1540086494.9000001</v>
      </c>
      <c r="D81" s="2">
        <v>212419905.90000001</v>
      </c>
      <c r="E81" s="2">
        <v>906444494.39999998</v>
      </c>
      <c r="F81" s="2">
        <v>569734586.39999998</v>
      </c>
      <c r="G81" s="2">
        <v>498594141.80000001</v>
      </c>
      <c r="H81" s="2">
        <v>274233494.75</v>
      </c>
    </row>
    <row r="82" spans="1:8" x14ac:dyDescent="0.2">
      <c r="A82" t="s">
        <v>88</v>
      </c>
      <c r="B82" s="2">
        <v>2765766066.5999999</v>
      </c>
      <c r="C82" s="2">
        <v>1536879701.9000001</v>
      </c>
      <c r="D82" s="2">
        <v>218819474.19999999</v>
      </c>
      <c r="E82" s="2">
        <v>899363485.79999995</v>
      </c>
      <c r="F82" s="2">
        <v>563983637</v>
      </c>
      <c r="G82" s="2">
        <v>470374802.5</v>
      </c>
      <c r="H82" s="2">
        <v>274814866</v>
      </c>
    </row>
    <row r="83" spans="1:8" x14ac:dyDescent="0.2">
      <c r="A83" t="s">
        <v>89</v>
      </c>
      <c r="B83" s="2">
        <v>2577176022.6999998</v>
      </c>
      <c r="C83" s="2">
        <v>1435567711.4000001</v>
      </c>
      <c r="D83" s="2">
        <v>207533172.90000001</v>
      </c>
      <c r="E83" s="2">
        <v>818814924.29999995</v>
      </c>
      <c r="F83" s="2">
        <v>476973495.30000001</v>
      </c>
      <c r="G83" s="2">
        <v>386599744.89999998</v>
      </c>
      <c r="H83" s="2">
        <v>275300662.75</v>
      </c>
    </row>
    <row r="84" spans="1:8" x14ac:dyDescent="0.2">
      <c r="A84" t="s">
        <v>90</v>
      </c>
      <c r="B84" s="2">
        <v>2660518545.4000001</v>
      </c>
      <c r="C84" s="2">
        <v>1462018427.0999999</v>
      </c>
      <c r="D84" s="2">
        <v>230166184.69999999</v>
      </c>
      <c r="E84" s="2">
        <v>842984678</v>
      </c>
      <c r="F84" s="2">
        <v>508188282.69999999</v>
      </c>
      <c r="G84" s="2">
        <v>401577946</v>
      </c>
      <c r="H84" s="2">
        <v>275786459.5</v>
      </c>
    </row>
    <row r="85" spans="1:8" x14ac:dyDescent="0.2">
      <c r="A85" t="s">
        <v>91</v>
      </c>
      <c r="B85" s="2">
        <v>2719538665.3000002</v>
      </c>
      <c r="C85" s="2">
        <v>1476064068.8</v>
      </c>
      <c r="D85" s="2">
        <v>217626738.30000001</v>
      </c>
      <c r="E85" s="2">
        <v>858018518.89999998</v>
      </c>
      <c r="F85" s="2">
        <v>534796433.30000001</v>
      </c>
      <c r="G85" s="2">
        <v>427451296.60000002</v>
      </c>
      <c r="H85" s="2">
        <v>276272256.25</v>
      </c>
    </row>
    <row r="86" spans="1:8" x14ac:dyDescent="0.2">
      <c r="A86" t="s">
        <v>92</v>
      </c>
      <c r="B86" s="2">
        <v>2747386950.5</v>
      </c>
      <c r="C86" s="2">
        <v>1492362813.2</v>
      </c>
      <c r="D86" s="2">
        <v>224320831.40000001</v>
      </c>
      <c r="E86" s="2">
        <v>875398875.70000005</v>
      </c>
      <c r="F86" s="2">
        <v>577415356.29999995</v>
      </c>
      <c r="G86" s="2">
        <v>485433658.5</v>
      </c>
      <c r="H86" s="2">
        <v>276758053</v>
      </c>
    </row>
    <row r="87" spans="1:8" x14ac:dyDescent="0.2">
      <c r="A87" t="s">
        <v>93</v>
      </c>
      <c r="B87" s="2">
        <v>2761746203.8000002</v>
      </c>
      <c r="C87" s="2">
        <v>1506413253.8</v>
      </c>
      <c r="D87" s="2">
        <v>224916177.19999999</v>
      </c>
      <c r="E87" s="2">
        <v>883933583.10000002</v>
      </c>
      <c r="F87" s="2">
        <v>602420487.10000002</v>
      </c>
      <c r="G87" s="2">
        <v>513588036.39999998</v>
      </c>
      <c r="H87" s="2">
        <v>277276172</v>
      </c>
    </row>
    <row r="88" spans="1:8" x14ac:dyDescent="0.2">
      <c r="A88" t="s">
        <v>94</v>
      </c>
      <c r="B88" s="2">
        <v>2768068745.0999999</v>
      </c>
      <c r="C88" s="2">
        <v>1493942825.4000001</v>
      </c>
      <c r="D88" s="2">
        <v>232336474.80000001</v>
      </c>
      <c r="E88" s="2">
        <v>888628685.10000002</v>
      </c>
      <c r="F88" s="2">
        <v>621759323.70000005</v>
      </c>
      <c r="G88" s="2">
        <v>527381984.39999998</v>
      </c>
      <c r="H88" s="2">
        <v>277794291</v>
      </c>
    </row>
    <row r="89" spans="1:8" x14ac:dyDescent="0.2">
      <c r="A89" t="s">
        <v>95</v>
      </c>
      <c r="B89" s="2">
        <v>2842857800.5</v>
      </c>
      <c r="C89" s="2">
        <v>1536354879.7</v>
      </c>
      <c r="D89" s="2">
        <v>229746223.40000001</v>
      </c>
      <c r="E89" s="2">
        <v>901257658.10000002</v>
      </c>
      <c r="F89" s="2">
        <v>657253888.20000005</v>
      </c>
      <c r="G89" s="2">
        <v>578713383.10000002</v>
      </c>
      <c r="H89" s="2">
        <v>278312410</v>
      </c>
    </row>
    <row r="90" spans="1:8" x14ac:dyDescent="0.2">
      <c r="A90" t="s">
        <v>96</v>
      </c>
      <c r="B90" s="2">
        <v>2876278883.0999999</v>
      </c>
      <c r="C90" s="2">
        <v>1554539055.8</v>
      </c>
      <c r="D90" s="2">
        <v>209041279.69999999</v>
      </c>
      <c r="E90" s="2">
        <v>912110685.20000005</v>
      </c>
      <c r="F90" s="2">
        <v>672458405</v>
      </c>
      <c r="G90" s="2">
        <v>581732286.10000002</v>
      </c>
      <c r="H90" s="2">
        <v>278830529</v>
      </c>
    </row>
    <row r="91" spans="1:8" x14ac:dyDescent="0.2">
      <c r="A91" t="s">
        <v>97</v>
      </c>
      <c r="B91" s="2">
        <v>2909986201.9000001</v>
      </c>
      <c r="C91" s="2">
        <v>1574244208.5</v>
      </c>
      <c r="D91" s="2">
        <v>214170722.40000001</v>
      </c>
      <c r="E91" s="2">
        <v>917273319.70000005</v>
      </c>
      <c r="F91" s="2">
        <v>715706549.70000005</v>
      </c>
      <c r="G91" s="2">
        <v>601628382.29999995</v>
      </c>
      <c r="H91" s="2">
        <v>279420413.5</v>
      </c>
    </row>
    <row r="92" spans="1:8" x14ac:dyDescent="0.2">
      <c r="A92" t="s">
        <v>98</v>
      </c>
      <c r="B92" s="2">
        <v>2943232687.6999998</v>
      </c>
      <c r="C92" s="2">
        <v>1587239439.8</v>
      </c>
      <c r="D92" s="2">
        <v>227776863.09999999</v>
      </c>
      <c r="E92" s="2">
        <v>924853780</v>
      </c>
      <c r="F92" s="2">
        <v>737351100.70000005</v>
      </c>
      <c r="G92" s="2">
        <v>633134514.20000005</v>
      </c>
      <c r="H92" s="2">
        <v>280010298</v>
      </c>
    </row>
    <row r="93" spans="1:8" x14ac:dyDescent="0.2">
      <c r="A93" t="s">
        <v>99</v>
      </c>
      <c r="B93" s="2">
        <v>2980725427.1999998</v>
      </c>
      <c r="C93" s="2">
        <v>1611824823.5</v>
      </c>
      <c r="D93" s="2">
        <v>220037516.90000001</v>
      </c>
      <c r="E93" s="2">
        <v>932335965</v>
      </c>
      <c r="F93" s="2">
        <v>732441951.29999995</v>
      </c>
      <c r="G93" s="2">
        <v>604298595.39999998</v>
      </c>
      <c r="H93" s="2">
        <v>280600182.5</v>
      </c>
    </row>
    <row r="94" spans="1:8" x14ac:dyDescent="0.2">
      <c r="A94" t="s">
        <v>100</v>
      </c>
      <c r="B94" s="2">
        <v>3016871929.9000001</v>
      </c>
      <c r="C94" s="2">
        <v>1627430851.4000001</v>
      </c>
      <c r="D94" s="2">
        <v>214342906.80000001</v>
      </c>
      <c r="E94" s="2">
        <v>939769492.39999998</v>
      </c>
      <c r="F94" s="2">
        <v>737293363.10000002</v>
      </c>
      <c r="G94" s="2">
        <v>605533169.39999998</v>
      </c>
      <c r="H94" s="2">
        <v>281190067</v>
      </c>
    </row>
    <row r="95" spans="1:8" x14ac:dyDescent="0.2">
      <c r="A95" t="s">
        <v>101</v>
      </c>
      <c r="B95" s="2">
        <v>3056593500.6999998</v>
      </c>
      <c r="C95" s="2">
        <v>1651349309.8</v>
      </c>
      <c r="D95" s="2">
        <v>235848610.90000001</v>
      </c>
      <c r="E95" s="2">
        <v>951022434.60000002</v>
      </c>
      <c r="F95" s="2">
        <v>713228247.70000005</v>
      </c>
      <c r="G95" s="2">
        <v>592091127.20000005</v>
      </c>
      <c r="H95" s="2">
        <v>281764533</v>
      </c>
    </row>
    <row r="96" spans="1:8" x14ac:dyDescent="0.2">
      <c r="A96" t="s">
        <v>102</v>
      </c>
      <c r="B96" s="2">
        <v>3094933476.5</v>
      </c>
      <c r="C96" s="2">
        <v>1670848168.8</v>
      </c>
      <c r="D96" s="2">
        <v>220427719.30000001</v>
      </c>
      <c r="E96" s="2">
        <v>961479782.79999995</v>
      </c>
      <c r="F96" s="2">
        <v>718552951.89999998</v>
      </c>
      <c r="G96" s="2">
        <v>587528565.39999998</v>
      </c>
      <c r="H96" s="2">
        <v>282338999</v>
      </c>
    </row>
    <row r="97" spans="1:8" x14ac:dyDescent="0.2">
      <c r="A97" t="s">
        <v>103</v>
      </c>
      <c r="B97" s="2">
        <v>3133053692.8000002</v>
      </c>
      <c r="C97" s="2">
        <v>1691014003.5999999</v>
      </c>
      <c r="D97" s="2">
        <v>226679799</v>
      </c>
      <c r="E97" s="2">
        <v>972950328.20000005</v>
      </c>
      <c r="F97" s="2">
        <v>738198348</v>
      </c>
      <c r="G97" s="2">
        <v>605529626.20000005</v>
      </c>
      <c r="H97" s="2">
        <v>282913465</v>
      </c>
    </row>
    <row r="98" spans="1:8" x14ac:dyDescent="0.2">
      <c r="A98" t="s">
        <v>104</v>
      </c>
      <c r="B98" s="2">
        <v>3173046610</v>
      </c>
      <c r="C98" s="2">
        <v>1714324435.5999999</v>
      </c>
      <c r="D98" s="2">
        <v>253514415.40000001</v>
      </c>
      <c r="E98" s="2">
        <v>985059548.10000002</v>
      </c>
      <c r="F98" s="2">
        <v>749994584.89999998</v>
      </c>
      <c r="G98" s="2">
        <v>624297008.39999998</v>
      </c>
      <c r="H98" s="2">
        <v>283487931</v>
      </c>
    </row>
    <row r="99" spans="1:8" x14ac:dyDescent="0.2">
      <c r="A99" t="s">
        <v>105</v>
      </c>
      <c r="B99" s="2">
        <v>3209381173.6999998</v>
      </c>
      <c r="C99" s="2">
        <v>1733324302.2</v>
      </c>
      <c r="D99" s="2">
        <v>238612827.69999999</v>
      </c>
      <c r="E99" s="2">
        <v>993599273.60000002</v>
      </c>
      <c r="F99" s="2">
        <v>766268749.89999998</v>
      </c>
      <c r="G99" s="2">
        <v>631018166.79999995</v>
      </c>
      <c r="H99" s="2">
        <v>283487931</v>
      </c>
    </row>
    <row r="100" spans="1:8" x14ac:dyDescent="0.2">
      <c r="A100" t="s">
        <v>106</v>
      </c>
      <c r="B100" s="2">
        <v>3249343102.0999999</v>
      </c>
      <c r="C100" s="2">
        <v>1755769349</v>
      </c>
      <c r="D100" s="2">
        <v>229649211.19999999</v>
      </c>
      <c r="E100" s="2">
        <v>1006306756.5</v>
      </c>
      <c r="F100" s="2">
        <v>783831109</v>
      </c>
      <c r="G100" s="2">
        <v>662976556.79999995</v>
      </c>
      <c r="H100" s="2">
        <v>283487931</v>
      </c>
    </row>
    <row r="101" spans="1:8" x14ac:dyDescent="0.2">
      <c r="A101" t="s">
        <v>107</v>
      </c>
      <c r="B101" s="2">
        <v>3288761514.1999998</v>
      </c>
      <c r="C101" s="2">
        <v>1776618167.8</v>
      </c>
      <c r="D101" s="2">
        <v>234846857.40000001</v>
      </c>
      <c r="E101" s="2">
        <v>1016727722</v>
      </c>
      <c r="F101" s="2">
        <v>806379638.5</v>
      </c>
      <c r="G101" s="2">
        <v>667179957.70000005</v>
      </c>
      <c r="H101" s="2">
        <v>283487931</v>
      </c>
    </row>
    <row r="102" spans="1:8" x14ac:dyDescent="0.2">
      <c r="A102" t="s">
        <v>108</v>
      </c>
      <c r="B102" s="2">
        <v>3328465246.3000002</v>
      </c>
      <c r="C102" s="2">
        <v>1796670117.4000001</v>
      </c>
      <c r="D102" s="2">
        <v>247722102.5</v>
      </c>
      <c r="E102" s="2">
        <v>1027145318.1</v>
      </c>
      <c r="F102" s="2">
        <v>813497212.79999995</v>
      </c>
      <c r="G102" s="2">
        <v>657502341.39999998</v>
      </c>
      <c r="H102" s="2">
        <v>283487931</v>
      </c>
    </row>
    <row r="103" spans="1:8" x14ac:dyDescent="0.2">
      <c r="A103" t="s">
        <v>109</v>
      </c>
      <c r="B103" s="2">
        <v>3372887814.5</v>
      </c>
      <c r="C103" s="2">
        <v>1821214020.0999999</v>
      </c>
      <c r="D103" s="2"/>
      <c r="E103" s="2">
        <v>1044457519.2</v>
      </c>
      <c r="F103" s="2">
        <v>832264484.89999998</v>
      </c>
      <c r="G103" s="2">
        <v>685557382.29999995</v>
      </c>
      <c r="H103" s="2">
        <v>283487931</v>
      </c>
    </row>
    <row r="104" spans="1:8" x14ac:dyDescent="0.2">
      <c r="A104" t="s">
        <v>110</v>
      </c>
      <c r="B104" s="2">
        <v>3416222982.5999999</v>
      </c>
      <c r="C104" s="2">
        <v>1843005423.3</v>
      </c>
      <c r="D104" s="2"/>
      <c r="E104" s="2">
        <v>1059563833.1</v>
      </c>
      <c r="F104" s="2">
        <v>843109160.89999998</v>
      </c>
      <c r="G104" s="2">
        <v>675095197.5</v>
      </c>
      <c r="H104" s="2">
        <v>283487931</v>
      </c>
    </row>
    <row r="105" spans="1:8" x14ac:dyDescent="0.2">
      <c r="A105" t="s">
        <v>111</v>
      </c>
      <c r="B105" s="2">
        <v>3462948656.5999999</v>
      </c>
      <c r="C105" s="2">
        <v>1866936965.5999999</v>
      </c>
      <c r="D105" s="2"/>
      <c r="E105" s="2">
        <v>1074229924</v>
      </c>
      <c r="F105" s="2">
        <v>836124373.20000005</v>
      </c>
      <c r="G105" s="2">
        <v>690619601.79999995</v>
      </c>
      <c r="H105" s="2">
        <v>283487931</v>
      </c>
    </row>
    <row r="106" spans="1:8" x14ac:dyDescent="0.2">
      <c r="A106" t="s">
        <v>112</v>
      </c>
      <c r="B106" s="2">
        <v>3510282996.1999998</v>
      </c>
      <c r="C106" s="2">
        <v>1891317337.3</v>
      </c>
      <c r="D106" s="2"/>
      <c r="E106" s="2">
        <v>1089381387.3</v>
      </c>
      <c r="F106" s="2">
        <v>824652254</v>
      </c>
      <c r="G106" s="2">
        <v>691650406.89999998</v>
      </c>
      <c r="H106" s="2">
        <v>283487931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"/>
  <sheetViews>
    <sheetView zoomScaleNormal="100" workbookViewId="0">
      <selection activeCell="G19" sqref="A1:H106"/>
    </sheetView>
  </sheetViews>
  <sheetFormatPr baseColWidth="10" defaultColWidth="8.6640625" defaultRowHeight="15" customHeight="1" x14ac:dyDescent="0.2"/>
  <cols>
    <col min="1" max="1" width="10.5" bestFit="1" customWidth="1"/>
    <col min="2" max="2" width="13.5" bestFit="1" customWidth="1"/>
    <col min="3" max="3" width="24" bestFit="1" customWidth="1"/>
    <col min="4" max="4" width="28.6640625" bestFit="1" customWidth="1"/>
    <col min="5" max="5" width="15.33203125" bestFit="1" customWidth="1"/>
    <col min="6" max="6" width="12.1640625" bestFit="1" customWidth="1"/>
    <col min="7" max="7" width="12.33203125" bestFit="1" customWidth="1"/>
    <col min="8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tr">
        <f>'Raw Data'!A2</f>
        <v>2000-01-01</v>
      </c>
      <c r="B2" s="4">
        <f>'Raw Data'!B2</f>
        <v>1012908548.9</v>
      </c>
      <c r="C2" s="4">
        <f>'Raw Data'!C2</f>
        <v>627061835.39999998</v>
      </c>
      <c r="D2" s="4">
        <f>'Raw Data'!D2</f>
        <v>70404080.700000003</v>
      </c>
      <c r="E2" s="4">
        <f>'Raw Data'!E2</f>
        <v>246110850.19999999</v>
      </c>
      <c r="F2" s="4">
        <f>'Raw Data'!F2</f>
        <v>178102474.30000001</v>
      </c>
      <c r="G2" s="4">
        <f>'Raw Data'!G2</f>
        <v>148270649</v>
      </c>
      <c r="H2" s="4">
        <f>'Raw Data'!H2</f>
        <v>216077790</v>
      </c>
    </row>
    <row r="3" spans="1:8" x14ac:dyDescent="0.2">
      <c r="A3" s="3" t="str">
        <f>'Raw Data'!A3</f>
        <v>2000-04-01</v>
      </c>
      <c r="B3" s="4">
        <f>'Raw Data'!B3</f>
        <v>1007085097.4</v>
      </c>
      <c r="C3" s="4">
        <f>'Raw Data'!C3</f>
        <v>638590166.79999995</v>
      </c>
      <c r="D3" s="4">
        <f>'Raw Data'!D3</f>
        <v>71325097.700000003</v>
      </c>
      <c r="E3" s="4">
        <f>'Raw Data'!E3</f>
        <v>268089949.09999999</v>
      </c>
      <c r="F3" s="4">
        <f>'Raw Data'!F3</f>
        <v>205670313.09999999</v>
      </c>
      <c r="G3" s="4">
        <f>'Raw Data'!G3</f>
        <v>160900982.40000001</v>
      </c>
      <c r="H3" s="4">
        <f>'Raw Data'!H3</f>
        <v>216832818</v>
      </c>
    </row>
    <row r="4" spans="1:8" x14ac:dyDescent="0.2">
      <c r="A4" s="3" t="str">
        <f>'Raw Data'!A4</f>
        <v>2000-07-01</v>
      </c>
      <c r="B4" s="4">
        <f>'Raw Data'!B4</f>
        <v>1031621787.4</v>
      </c>
      <c r="C4" s="4">
        <f>'Raw Data'!C4</f>
        <v>637339229.60000002</v>
      </c>
      <c r="D4" s="4">
        <f>'Raw Data'!D4</f>
        <v>71942504.599999994</v>
      </c>
      <c r="E4" s="4">
        <f>'Raw Data'!E4</f>
        <v>274181594.10000002</v>
      </c>
      <c r="F4" s="4">
        <f>'Raw Data'!F4</f>
        <v>212275812.19999999</v>
      </c>
      <c r="G4" s="4">
        <f>'Raw Data'!G4</f>
        <v>192159570.5</v>
      </c>
      <c r="H4" s="4">
        <f>'Raw Data'!H4</f>
        <v>217587846</v>
      </c>
    </row>
    <row r="5" spans="1:8" x14ac:dyDescent="0.2">
      <c r="A5" s="3" t="str">
        <f>'Raw Data'!A5</f>
        <v>2000-10-01</v>
      </c>
      <c r="B5" s="4">
        <f>'Raw Data'!B5</f>
        <v>1061287238.5</v>
      </c>
      <c r="C5" s="4">
        <f>'Raw Data'!C5</f>
        <v>643440117.29999995</v>
      </c>
      <c r="D5" s="4">
        <f>'Raw Data'!D5</f>
        <v>73047402.700000003</v>
      </c>
      <c r="E5" s="4">
        <f>'Raw Data'!E5</f>
        <v>283717658.30000001</v>
      </c>
      <c r="F5" s="4">
        <f>'Raw Data'!F5</f>
        <v>218841829.80000001</v>
      </c>
      <c r="G5" s="4">
        <f>'Raw Data'!G5</f>
        <v>237166047.80000001</v>
      </c>
      <c r="H5" s="4">
        <f>'Raw Data'!H5</f>
        <v>218342874</v>
      </c>
    </row>
    <row r="6" spans="1:8" x14ac:dyDescent="0.2">
      <c r="A6" s="3" t="str">
        <f>'Raw Data'!A6</f>
        <v>2001-01-01</v>
      </c>
      <c r="B6" s="4">
        <f>'Raw Data'!B6</f>
        <v>1053724548.7</v>
      </c>
      <c r="C6" s="4">
        <f>'Raw Data'!C6</f>
        <v>648801720.89999998</v>
      </c>
      <c r="D6" s="4">
        <f>'Raw Data'!D6</f>
        <v>74656611.099999994</v>
      </c>
      <c r="E6" s="4">
        <f>'Raw Data'!E6</f>
        <v>292252078.80000001</v>
      </c>
      <c r="F6" s="4">
        <f>'Raw Data'!F6</f>
        <v>211900369.30000001</v>
      </c>
      <c r="G6" s="4">
        <f>'Raw Data'!G6</f>
        <v>206495720.40000001</v>
      </c>
      <c r="H6" s="4">
        <f>'Raw Data'!H6</f>
        <v>219097902</v>
      </c>
    </row>
    <row r="7" spans="1:8" x14ac:dyDescent="0.2">
      <c r="A7" s="3" t="str">
        <f>'Raw Data'!A7</f>
        <v>2001-04-01</v>
      </c>
      <c r="B7" s="4">
        <f>'Raw Data'!B7</f>
        <v>1064503041.7</v>
      </c>
      <c r="C7" s="4">
        <f>'Raw Data'!C7</f>
        <v>655332051.10000002</v>
      </c>
      <c r="D7" s="4">
        <f>'Raw Data'!D7</f>
        <v>76038165.400000006</v>
      </c>
      <c r="E7" s="4">
        <f>'Raw Data'!E7</f>
        <v>297938319.39999998</v>
      </c>
      <c r="F7" s="4">
        <f>'Raw Data'!F7</f>
        <v>212782662.69999999</v>
      </c>
      <c r="G7" s="4">
        <f>'Raw Data'!G7</f>
        <v>212201255.80000001</v>
      </c>
      <c r="H7" s="4">
        <f>'Raw Data'!H7</f>
        <v>219845550.25</v>
      </c>
    </row>
    <row r="8" spans="1:8" x14ac:dyDescent="0.2">
      <c r="A8" s="3" t="str">
        <f>'Raw Data'!A8</f>
        <v>2001-07-01</v>
      </c>
      <c r="B8" s="4">
        <f>'Raw Data'!B8</f>
        <v>1064723806.5</v>
      </c>
      <c r="C8" s="4">
        <f>'Raw Data'!C8</f>
        <v>662548295.5</v>
      </c>
      <c r="D8" s="4">
        <f>'Raw Data'!D8</f>
        <v>77743342.200000003</v>
      </c>
      <c r="E8" s="4">
        <f>'Raw Data'!E8</f>
        <v>273451843.69999999</v>
      </c>
      <c r="F8" s="4">
        <f>'Raw Data'!F8</f>
        <v>200475950.80000001</v>
      </c>
      <c r="G8" s="4">
        <f>'Raw Data'!G8</f>
        <v>181480336.5</v>
      </c>
      <c r="H8" s="4">
        <f>'Raw Data'!H8</f>
        <v>220593198.5</v>
      </c>
    </row>
    <row r="9" spans="1:8" x14ac:dyDescent="0.2">
      <c r="A9" s="3" t="str">
        <f>'Raw Data'!A9</f>
        <v>2001-10-01</v>
      </c>
      <c r="B9" s="4">
        <f>'Raw Data'!B9</f>
        <v>1079803504.2</v>
      </c>
      <c r="C9" s="4">
        <f>'Raw Data'!C9</f>
        <v>668725062.5</v>
      </c>
      <c r="D9" s="4">
        <f>'Raw Data'!D9</f>
        <v>79967525.5</v>
      </c>
      <c r="E9" s="4">
        <f>'Raw Data'!E9</f>
        <v>278063567.89999998</v>
      </c>
      <c r="F9" s="4">
        <f>'Raw Data'!F9</f>
        <v>194987329.09999999</v>
      </c>
      <c r="G9" s="4">
        <f>'Raw Data'!G9</f>
        <v>169188095.90000001</v>
      </c>
      <c r="H9" s="4">
        <f>'Raw Data'!H9</f>
        <v>221340846.75</v>
      </c>
    </row>
    <row r="10" spans="1:8" x14ac:dyDescent="0.2">
      <c r="A10" s="3" t="str">
        <f>'Raw Data'!A10</f>
        <v>2002-01-01</v>
      </c>
      <c r="B10" s="4">
        <f>'Raw Data'!B10</f>
        <v>1092967373.4000001</v>
      </c>
      <c r="C10" s="4">
        <f>'Raw Data'!C10</f>
        <v>675684500.20000005</v>
      </c>
      <c r="D10" s="4">
        <f>'Raw Data'!D10</f>
        <v>83111699.200000003</v>
      </c>
      <c r="E10" s="4">
        <f>'Raw Data'!E10</f>
        <v>284791560</v>
      </c>
      <c r="F10" s="4">
        <f>'Raw Data'!F10</f>
        <v>200945229.90000001</v>
      </c>
      <c r="G10" s="4">
        <f>'Raw Data'!G10</f>
        <v>177455670.5</v>
      </c>
      <c r="H10" s="4">
        <f>'Raw Data'!H10</f>
        <v>222088495</v>
      </c>
    </row>
    <row r="11" spans="1:8" x14ac:dyDescent="0.2">
      <c r="A11" s="3" t="str">
        <f>'Raw Data'!A11</f>
        <v>2002-04-01</v>
      </c>
      <c r="B11" s="4">
        <f>'Raw Data'!B11</f>
        <v>1107016689.4000001</v>
      </c>
      <c r="C11" s="4">
        <f>'Raw Data'!C11</f>
        <v>681635322.10000002</v>
      </c>
      <c r="D11" s="4">
        <f>'Raw Data'!D11</f>
        <v>85630889.900000006</v>
      </c>
      <c r="E11" s="4">
        <f>'Raw Data'!E11</f>
        <v>294014158.60000002</v>
      </c>
      <c r="F11" s="4">
        <f>'Raw Data'!F11</f>
        <v>200003461.09999999</v>
      </c>
      <c r="G11" s="4">
        <f>'Raw Data'!G11</f>
        <v>178999767.59999999</v>
      </c>
      <c r="H11" s="4">
        <f>'Raw Data'!H11</f>
        <v>222828373.25</v>
      </c>
    </row>
    <row r="12" spans="1:8" x14ac:dyDescent="0.2">
      <c r="A12" s="3" t="str">
        <f>'Raw Data'!A12</f>
        <v>2002-07-01</v>
      </c>
      <c r="B12" s="4">
        <f>'Raw Data'!B12</f>
        <v>1121225595.5999999</v>
      </c>
      <c r="C12" s="4">
        <f>'Raw Data'!C12</f>
        <v>686468286.89999998</v>
      </c>
      <c r="D12" s="4">
        <f>'Raw Data'!D12</f>
        <v>88829850.299999997</v>
      </c>
      <c r="E12" s="4">
        <f>'Raw Data'!E12</f>
        <v>303355174.5</v>
      </c>
      <c r="F12" s="4">
        <f>'Raw Data'!F12</f>
        <v>205226316.30000001</v>
      </c>
      <c r="G12" s="4">
        <f>'Raw Data'!G12</f>
        <v>186902557.69999999</v>
      </c>
      <c r="H12" s="4">
        <f>'Raw Data'!H12</f>
        <v>223568251.5</v>
      </c>
    </row>
    <row r="13" spans="1:8" x14ac:dyDescent="0.2">
      <c r="A13" s="3" t="str">
        <f>'Raw Data'!A13</f>
        <v>2002-10-01</v>
      </c>
      <c r="B13" s="4">
        <f>'Raw Data'!B13</f>
        <v>1133346850.7</v>
      </c>
      <c r="C13" s="4">
        <f>'Raw Data'!C13</f>
        <v>692708504.29999995</v>
      </c>
      <c r="D13" s="4">
        <f>'Raw Data'!D13</f>
        <v>90905787.900000006</v>
      </c>
      <c r="E13" s="4">
        <f>'Raw Data'!E13</f>
        <v>313141525.30000001</v>
      </c>
      <c r="F13" s="4">
        <f>'Raw Data'!F13</f>
        <v>203990694.09999999</v>
      </c>
      <c r="G13" s="4">
        <f>'Raw Data'!G13</f>
        <v>193313587.19999999</v>
      </c>
      <c r="H13" s="4">
        <f>'Raw Data'!H13</f>
        <v>224308129.75</v>
      </c>
    </row>
    <row r="14" spans="1:8" x14ac:dyDescent="0.2">
      <c r="A14" s="3" t="str">
        <f>'Raw Data'!A14</f>
        <v>2003-01-01</v>
      </c>
      <c r="B14" s="4">
        <f>'Raw Data'!B14</f>
        <v>1148138310.8</v>
      </c>
      <c r="C14" s="4">
        <f>'Raw Data'!C14</f>
        <v>698573787.29999995</v>
      </c>
      <c r="D14" s="4">
        <f>'Raw Data'!D14</f>
        <v>91865825.900000006</v>
      </c>
      <c r="E14" s="4">
        <f>'Raw Data'!E14</f>
        <v>289849373.69999999</v>
      </c>
      <c r="F14" s="4">
        <f>'Raw Data'!F14</f>
        <v>214146218.19999999</v>
      </c>
      <c r="G14" s="4">
        <f>'Raw Data'!G14</f>
        <v>186275044.80000001</v>
      </c>
      <c r="H14" s="4">
        <f>'Raw Data'!H14</f>
        <v>225048008</v>
      </c>
    </row>
    <row r="15" spans="1:8" x14ac:dyDescent="0.2">
      <c r="A15" s="3" t="str">
        <f>'Raw Data'!A15</f>
        <v>2003-04-01</v>
      </c>
      <c r="B15" s="4">
        <f>'Raw Data'!B15</f>
        <v>1161156638.7</v>
      </c>
      <c r="C15" s="4">
        <f>'Raw Data'!C15</f>
        <v>705446067.20000005</v>
      </c>
      <c r="D15" s="4">
        <f>'Raw Data'!D15</f>
        <v>94765506.299999997</v>
      </c>
      <c r="E15" s="4">
        <f>'Raw Data'!E15</f>
        <v>295219061.89999998</v>
      </c>
      <c r="F15" s="4">
        <f>'Raw Data'!F15</f>
        <v>219464920.80000001</v>
      </c>
      <c r="G15" s="4">
        <f>'Raw Data'!G15</f>
        <v>178650684.09999999</v>
      </c>
      <c r="H15" s="4">
        <f>'Raw Data'!H15</f>
        <v>225767668.25</v>
      </c>
    </row>
    <row r="16" spans="1:8" x14ac:dyDescent="0.2">
      <c r="A16" s="3" t="str">
        <f>'Raw Data'!A16</f>
        <v>2003-07-01</v>
      </c>
      <c r="B16" s="4">
        <f>'Raw Data'!B16</f>
        <v>1173320795.5999999</v>
      </c>
      <c r="C16" s="4">
        <f>'Raw Data'!C16</f>
        <v>712719244.39999998</v>
      </c>
      <c r="D16" s="4">
        <f>'Raw Data'!D16</f>
        <v>97537033.099999994</v>
      </c>
      <c r="E16" s="4">
        <f>'Raw Data'!E16</f>
        <v>304198412</v>
      </c>
      <c r="F16" s="4">
        <f>'Raw Data'!F16</f>
        <v>210332904.59999999</v>
      </c>
      <c r="G16" s="4">
        <f>'Raw Data'!G16</f>
        <v>187173311.19999999</v>
      </c>
      <c r="H16" s="4">
        <f>'Raw Data'!H16</f>
        <v>226487328.5</v>
      </c>
    </row>
    <row r="17" spans="1:8" x14ac:dyDescent="0.2">
      <c r="A17" s="3" t="str">
        <f>'Raw Data'!A17</f>
        <v>2003-10-01</v>
      </c>
      <c r="B17" s="4">
        <f>'Raw Data'!B17</f>
        <v>1184885007.8</v>
      </c>
      <c r="C17" s="4">
        <f>'Raw Data'!C17</f>
        <v>726286409.39999998</v>
      </c>
      <c r="D17" s="4">
        <f>'Raw Data'!D17</f>
        <v>99274988</v>
      </c>
      <c r="E17" s="4">
        <f>'Raw Data'!E17</f>
        <v>313211241.80000001</v>
      </c>
      <c r="F17" s="4">
        <f>'Raw Data'!F17</f>
        <v>213911088.69999999</v>
      </c>
      <c r="G17" s="4">
        <f>'Raw Data'!G17</f>
        <v>196092124.5</v>
      </c>
      <c r="H17" s="4">
        <f>'Raw Data'!H17</f>
        <v>227206988.75</v>
      </c>
    </row>
    <row r="18" spans="1:8" x14ac:dyDescent="0.2">
      <c r="A18" s="3" t="str">
        <f>'Raw Data'!A18</f>
        <v>2004-01-01</v>
      </c>
      <c r="B18" s="4">
        <f>'Raw Data'!B18</f>
        <v>1198807260.5999999</v>
      </c>
      <c r="C18" s="4">
        <f>'Raw Data'!C18</f>
        <v>737630503</v>
      </c>
      <c r="D18" s="4">
        <f>'Raw Data'!D18</f>
        <v>101359571.7</v>
      </c>
      <c r="E18" s="4">
        <f>'Raw Data'!E18</f>
        <v>322914588.69999999</v>
      </c>
      <c r="F18" s="4">
        <f>'Raw Data'!F18</f>
        <v>221253040.59999999</v>
      </c>
      <c r="G18" s="4">
        <f>'Raw Data'!G18</f>
        <v>219407449</v>
      </c>
      <c r="H18" s="4">
        <f>'Raw Data'!H18</f>
        <v>227926649</v>
      </c>
    </row>
    <row r="19" spans="1:8" x14ac:dyDescent="0.2">
      <c r="A19" s="3" t="str">
        <f>'Raw Data'!A19</f>
        <v>2004-04-01</v>
      </c>
      <c r="B19" s="4">
        <f>'Raw Data'!B19</f>
        <v>1213143896.8</v>
      </c>
      <c r="C19" s="4">
        <f>'Raw Data'!C19</f>
        <v>742824012.39999998</v>
      </c>
      <c r="D19" s="4">
        <f>'Raw Data'!D19</f>
        <v>100674398.90000001</v>
      </c>
      <c r="E19" s="4">
        <f>'Raw Data'!E19</f>
        <v>333347591.60000002</v>
      </c>
      <c r="F19" s="4">
        <f>'Raw Data'!F19</f>
        <v>232159642.80000001</v>
      </c>
      <c r="G19" s="4">
        <f>'Raw Data'!G19</f>
        <v>225720260.59999999</v>
      </c>
      <c r="H19" s="4">
        <f>'Raw Data'!H19</f>
        <v>228662899.25</v>
      </c>
    </row>
    <row r="20" spans="1:8" x14ac:dyDescent="0.2">
      <c r="A20" s="3" t="str">
        <f>'Raw Data'!A20</f>
        <v>2004-07-01</v>
      </c>
      <c r="B20" s="4">
        <f>'Raw Data'!B20</f>
        <v>1227905795.3</v>
      </c>
      <c r="C20" s="4">
        <f>'Raw Data'!C20</f>
        <v>748311787.29999995</v>
      </c>
      <c r="D20" s="4">
        <f>'Raw Data'!D20</f>
        <v>98985856.599999994</v>
      </c>
      <c r="E20" s="4">
        <f>'Raw Data'!E20</f>
        <v>357258452</v>
      </c>
      <c r="F20" s="4">
        <f>'Raw Data'!F20</f>
        <v>257374950.5</v>
      </c>
      <c r="G20" s="4">
        <f>'Raw Data'!G20</f>
        <v>245340638.09999999</v>
      </c>
      <c r="H20" s="4">
        <f>'Raw Data'!H20</f>
        <v>229399149.5</v>
      </c>
    </row>
    <row r="21" spans="1:8" x14ac:dyDescent="0.2">
      <c r="A21" s="3" t="str">
        <f>'Raw Data'!A21</f>
        <v>2004-10-01</v>
      </c>
      <c r="B21" s="4">
        <f>'Raw Data'!B21</f>
        <v>1262459879.8</v>
      </c>
      <c r="C21" s="4">
        <f>'Raw Data'!C21</f>
        <v>755477055.10000002</v>
      </c>
      <c r="D21" s="4">
        <f>'Raw Data'!D21</f>
        <v>97724420.5</v>
      </c>
      <c r="E21" s="4">
        <f>'Raw Data'!E21</f>
        <v>365520935.30000001</v>
      </c>
      <c r="F21" s="4">
        <f>'Raw Data'!F21</f>
        <v>263120890</v>
      </c>
      <c r="G21" s="4">
        <f>'Raw Data'!G21</f>
        <v>257140393.59999999</v>
      </c>
      <c r="H21" s="4">
        <f>'Raw Data'!H21</f>
        <v>230135399.75</v>
      </c>
    </row>
    <row r="22" spans="1:8" x14ac:dyDescent="0.2">
      <c r="A22" s="3" t="str">
        <f>'Raw Data'!A22</f>
        <v>2005-01-01</v>
      </c>
      <c r="B22" s="4">
        <f>'Raw Data'!B22</f>
        <v>1272698656.9000001</v>
      </c>
      <c r="C22" s="4">
        <f>'Raw Data'!C22</f>
        <v>763611575.79999995</v>
      </c>
      <c r="D22" s="4">
        <f>'Raw Data'!D22</f>
        <v>97388090</v>
      </c>
      <c r="E22" s="4">
        <f>'Raw Data'!E22</f>
        <v>374402747.30000001</v>
      </c>
      <c r="F22" s="4">
        <f>'Raw Data'!F22</f>
        <v>270092851.89999998</v>
      </c>
      <c r="G22" s="4">
        <f>'Raw Data'!G22</f>
        <v>268195402.69999999</v>
      </c>
      <c r="H22" s="4">
        <f>'Raw Data'!H22</f>
        <v>230871650</v>
      </c>
    </row>
    <row r="23" spans="1:8" x14ac:dyDescent="0.2">
      <c r="A23" s="3" t="str">
        <f>'Raw Data'!A23</f>
        <v>2005-04-01</v>
      </c>
      <c r="B23" s="4">
        <f>'Raw Data'!B23</f>
        <v>1287273733.3</v>
      </c>
      <c r="C23" s="4">
        <f>'Raw Data'!C23</f>
        <v>771394960.20000005</v>
      </c>
      <c r="D23" s="4">
        <f>'Raw Data'!D23</f>
        <v>96108300.299999997</v>
      </c>
      <c r="E23" s="4">
        <f>'Raw Data'!E23</f>
        <v>386160790.69999999</v>
      </c>
      <c r="F23" s="4">
        <f>'Raw Data'!F23</f>
        <v>274309119.39999998</v>
      </c>
      <c r="G23" s="4">
        <f>'Raw Data'!G23</f>
        <v>279000767.30000001</v>
      </c>
      <c r="H23" s="4">
        <f>'Raw Data'!H23</f>
        <v>231641650.5</v>
      </c>
    </row>
    <row r="24" spans="1:8" x14ac:dyDescent="0.2">
      <c r="A24" s="3" t="str">
        <f>'Raw Data'!A24</f>
        <v>2005-07-01</v>
      </c>
      <c r="B24" s="4">
        <f>'Raw Data'!B24</f>
        <v>1301458227.9000001</v>
      </c>
      <c r="C24" s="4">
        <f>'Raw Data'!C24</f>
        <v>780436992.60000002</v>
      </c>
      <c r="D24" s="4">
        <f>'Raw Data'!D24</f>
        <v>115347599.2</v>
      </c>
      <c r="E24" s="4">
        <f>'Raw Data'!E24</f>
        <v>393661092.5</v>
      </c>
      <c r="F24" s="4">
        <f>'Raw Data'!F24</f>
        <v>288993096.19999999</v>
      </c>
      <c r="G24" s="4">
        <f>'Raw Data'!G24</f>
        <v>288881871.80000001</v>
      </c>
      <c r="H24" s="4">
        <f>'Raw Data'!H24</f>
        <v>232411651</v>
      </c>
    </row>
    <row r="25" spans="1:8" x14ac:dyDescent="0.2">
      <c r="A25" s="3" t="str">
        <f>'Raw Data'!A25</f>
        <v>2005-10-01</v>
      </c>
      <c r="B25" s="4">
        <f>'Raw Data'!B25</f>
        <v>1319954094.9000001</v>
      </c>
      <c r="C25" s="4">
        <f>'Raw Data'!C25</f>
        <v>786777880.20000005</v>
      </c>
      <c r="D25" s="4">
        <f>'Raw Data'!D25</f>
        <v>116358219.40000001</v>
      </c>
      <c r="E25" s="4">
        <f>'Raw Data'!E25</f>
        <v>374954981.39999998</v>
      </c>
      <c r="F25" s="4">
        <f>'Raw Data'!F25</f>
        <v>302195050.39999998</v>
      </c>
      <c r="G25" s="4">
        <f>'Raw Data'!G25</f>
        <v>279910896.60000002</v>
      </c>
      <c r="H25" s="4">
        <f>'Raw Data'!H25</f>
        <v>233181651.5</v>
      </c>
    </row>
    <row r="26" spans="1:8" x14ac:dyDescent="0.2">
      <c r="A26" s="3" t="str">
        <f>'Raw Data'!A26</f>
        <v>2006-01-01</v>
      </c>
      <c r="B26" s="4">
        <f>'Raw Data'!B26</f>
        <v>1337393578.3</v>
      </c>
      <c r="C26" s="4">
        <f>'Raw Data'!C26</f>
        <v>787029553.89999998</v>
      </c>
      <c r="D26" s="4">
        <f>'Raw Data'!D26</f>
        <v>114904966.59999999</v>
      </c>
      <c r="E26" s="4">
        <f>'Raw Data'!E26</f>
        <v>381645836.60000002</v>
      </c>
      <c r="F26" s="4">
        <f>'Raw Data'!F26</f>
        <v>301704743</v>
      </c>
      <c r="G26" s="4">
        <f>'Raw Data'!G26</f>
        <v>281200638.89999998</v>
      </c>
      <c r="H26" s="4">
        <f>'Raw Data'!H26</f>
        <v>233951652</v>
      </c>
    </row>
    <row r="27" spans="1:8" x14ac:dyDescent="0.2">
      <c r="A27" s="3" t="str">
        <f>'Raw Data'!A27</f>
        <v>2006-04-01</v>
      </c>
      <c r="B27" s="4">
        <f>'Raw Data'!B27</f>
        <v>1354469278.2</v>
      </c>
      <c r="C27" s="4">
        <f>'Raw Data'!C27</f>
        <v>795653746.70000005</v>
      </c>
      <c r="D27" s="4">
        <f>'Raw Data'!D27</f>
        <v>116800611.90000001</v>
      </c>
      <c r="E27" s="4">
        <f>'Raw Data'!E27</f>
        <v>389964375.69999999</v>
      </c>
      <c r="F27" s="4">
        <f>'Raw Data'!F27</f>
        <v>305499256</v>
      </c>
      <c r="G27" s="4">
        <f>'Raw Data'!G27</f>
        <v>304816723</v>
      </c>
      <c r="H27" s="4">
        <f>'Raw Data'!H27</f>
        <v>234729323.25</v>
      </c>
    </row>
    <row r="28" spans="1:8" x14ac:dyDescent="0.2">
      <c r="A28" s="3" t="str">
        <f>'Raw Data'!A28</f>
        <v>2006-07-01</v>
      </c>
      <c r="B28" s="4">
        <f>'Raw Data'!B28</f>
        <v>1376301897.3</v>
      </c>
      <c r="C28" s="4">
        <f>'Raw Data'!C28</f>
        <v>803827059.79999995</v>
      </c>
      <c r="D28" s="4">
        <f>'Raw Data'!D28</f>
        <v>116464936.5</v>
      </c>
      <c r="E28" s="4">
        <f>'Raw Data'!E28</f>
        <v>395979510.5</v>
      </c>
      <c r="F28" s="4">
        <f>'Raw Data'!F28</f>
        <v>313740683.19999999</v>
      </c>
      <c r="G28" s="4">
        <f>'Raw Data'!G28</f>
        <v>320226466</v>
      </c>
      <c r="H28" s="4">
        <f>'Raw Data'!H28</f>
        <v>235506994.5</v>
      </c>
    </row>
    <row r="29" spans="1:8" x14ac:dyDescent="0.2">
      <c r="A29" s="3" t="str">
        <f>'Raw Data'!A29</f>
        <v>2006-10-01</v>
      </c>
      <c r="B29" s="4">
        <f>'Raw Data'!B29</f>
        <v>1398245434.2</v>
      </c>
      <c r="C29" s="4">
        <f>'Raw Data'!C29</f>
        <v>814153640.5</v>
      </c>
      <c r="D29" s="4">
        <f>'Raw Data'!D29</f>
        <v>117895457.59999999</v>
      </c>
      <c r="E29" s="4">
        <f>'Raw Data'!E29</f>
        <v>401300709.5</v>
      </c>
      <c r="F29" s="4">
        <f>'Raw Data'!F29</f>
        <v>321453705.69999999</v>
      </c>
      <c r="G29" s="4">
        <f>'Raw Data'!G29</f>
        <v>305526752.89999998</v>
      </c>
      <c r="H29" s="4">
        <f>'Raw Data'!H29</f>
        <v>236284665.75</v>
      </c>
    </row>
    <row r="30" spans="1:8" x14ac:dyDescent="0.2">
      <c r="A30" s="3" t="str">
        <f>'Raw Data'!A30</f>
        <v>2007-01-01</v>
      </c>
      <c r="B30" s="4">
        <f>'Raw Data'!B30</f>
        <v>1420985934.2</v>
      </c>
      <c r="C30" s="4">
        <f>'Raw Data'!C30</f>
        <v>823357924.20000005</v>
      </c>
      <c r="D30" s="4">
        <f>'Raw Data'!D30</f>
        <v>119066270.40000001</v>
      </c>
      <c r="E30" s="4">
        <f>'Raw Data'!E30</f>
        <v>409871941.5</v>
      </c>
      <c r="F30" s="4">
        <f>'Raw Data'!F30</f>
        <v>327487058.89999998</v>
      </c>
      <c r="G30" s="4">
        <f>'Raw Data'!G30</f>
        <v>305116959.19999999</v>
      </c>
      <c r="H30" s="4">
        <f>'Raw Data'!H30</f>
        <v>237062337</v>
      </c>
    </row>
    <row r="31" spans="1:8" x14ac:dyDescent="0.2">
      <c r="A31" s="3" t="str">
        <f>'Raw Data'!A31</f>
        <v>2007-04-01</v>
      </c>
      <c r="B31" s="4">
        <f>'Raw Data'!B31</f>
        <v>1444669538.5999999</v>
      </c>
      <c r="C31" s="4">
        <f>'Raw Data'!C31</f>
        <v>834057199.29999995</v>
      </c>
      <c r="D31" s="4">
        <f>'Raw Data'!D31</f>
        <v>120311252.59999999</v>
      </c>
      <c r="E31" s="4">
        <f>'Raw Data'!E31</f>
        <v>421378443.5</v>
      </c>
      <c r="F31" s="4">
        <f>'Raw Data'!F31</f>
        <v>336773674.60000002</v>
      </c>
      <c r="G31" s="4">
        <f>'Raw Data'!G31</f>
        <v>324706458.30000001</v>
      </c>
      <c r="H31" s="4">
        <f>'Raw Data'!H31</f>
        <v>237836228.5</v>
      </c>
    </row>
    <row r="32" spans="1:8" x14ac:dyDescent="0.2">
      <c r="A32" s="3" t="str">
        <f>'Raw Data'!A32</f>
        <v>2007-07-01</v>
      </c>
      <c r="B32" s="4">
        <f>'Raw Data'!B32</f>
        <v>1467445669</v>
      </c>
      <c r="C32" s="4">
        <f>'Raw Data'!C32</f>
        <v>845610326.29999995</v>
      </c>
      <c r="D32" s="4">
        <f>'Raw Data'!D32</f>
        <v>121495969.2</v>
      </c>
      <c r="E32" s="4">
        <f>'Raw Data'!E32</f>
        <v>433392453.69999999</v>
      </c>
      <c r="F32" s="4">
        <f>'Raw Data'!F32</f>
        <v>337847515</v>
      </c>
      <c r="G32" s="4">
        <f>'Raw Data'!G32</f>
        <v>342568857.60000002</v>
      </c>
      <c r="H32" s="4">
        <f>'Raw Data'!H32</f>
        <v>238610120</v>
      </c>
    </row>
    <row r="33" spans="1:8" x14ac:dyDescent="0.2">
      <c r="A33" s="3" t="str">
        <f>'Raw Data'!A33</f>
        <v>2007-10-01</v>
      </c>
      <c r="B33" s="4">
        <f>'Raw Data'!B33</f>
        <v>1480153989</v>
      </c>
      <c r="C33" s="4">
        <f>'Raw Data'!C33</f>
        <v>857887505.79999995</v>
      </c>
      <c r="D33" s="4">
        <f>'Raw Data'!D33</f>
        <v>123340361.40000001</v>
      </c>
      <c r="E33" s="4">
        <f>'Raw Data'!E33</f>
        <v>450529467.89999998</v>
      </c>
      <c r="F33" s="4">
        <f>'Raw Data'!F33</f>
        <v>346428027.30000001</v>
      </c>
      <c r="G33" s="4">
        <f>'Raw Data'!G33</f>
        <v>349216273</v>
      </c>
      <c r="H33" s="4">
        <f>'Raw Data'!H33</f>
        <v>239384011.5</v>
      </c>
    </row>
    <row r="34" spans="1:8" x14ac:dyDescent="0.2">
      <c r="A34" s="3" t="str">
        <f>'Raw Data'!A34</f>
        <v>2008-01-01</v>
      </c>
      <c r="B34" s="4">
        <f>'Raw Data'!B34</f>
        <v>1513071211.2</v>
      </c>
      <c r="C34" s="4">
        <f>'Raw Data'!C34</f>
        <v>869208006</v>
      </c>
      <c r="D34" s="4">
        <f>'Raw Data'!D34</f>
        <v>134053510</v>
      </c>
      <c r="E34" s="4">
        <f>'Raw Data'!E34</f>
        <v>469261109.5</v>
      </c>
      <c r="F34" s="4">
        <f>'Raw Data'!F34</f>
        <v>381499312.30000001</v>
      </c>
      <c r="G34" s="4">
        <f>'Raw Data'!G34</f>
        <v>375345170.39999998</v>
      </c>
      <c r="H34" s="4">
        <f>'Raw Data'!H34</f>
        <v>240157903</v>
      </c>
    </row>
    <row r="35" spans="1:8" x14ac:dyDescent="0.2">
      <c r="A35" s="3" t="str">
        <f>'Raw Data'!A35</f>
        <v>2008-04-01</v>
      </c>
      <c r="B35" s="4">
        <f>'Raw Data'!B35</f>
        <v>1535483757.5</v>
      </c>
      <c r="C35" s="4">
        <f>'Raw Data'!C35</f>
        <v>880483897.79999995</v>
      </c>
      <c r="D35" s="4">
        <f>'Raw Data'!D35</f>
        <v>130637615.40000001</v>
      </c>
      <c r="E35" s="4">
        <f>'Raw Data'!E35</f>
        <v>477217795.80000001</v>
      </c>
      <c r="F35" s="4">
        <f>'Raw Data'!F35</f>
        <v>374735364.69999999</v>
      </c>
      <c r="G35" s="4">
        <f>'Raw Data'!G35</f>
        <v>373200970.19999999</v>
      </c>
      <c r="H35" s="4">
        <f>'Raw Data'!H35</f>
        <v>240923434.25</v>
      </c>
    </row>
    <row r="36" spans="1:8" x14ac:dyDescent="0.2">
      <c r="A36" s="3" t="str">
        <f>'Raw Data'!A36</f>
        <v>2008-07-01</v>
      </c>
      <c r="B36" s="4">
        <f>'Raw Data'!B36</f>
        <v>1555822432.3</v>
      </c>
      <c r="C36" s="4">
        <f>'Raw Data'!C36</f>
        <v>889771759.5</v>
      </c>
      <c r="D36" s="4">
        <f>'Raw Data'!D36</f>
        <v>138178177.09999999</v>
      </c>
      <c r="E36" s="4">
        <f>'Raw Data'!E36</f>
        <v>482939767.60000002</v>
      </c>
      <c r="F36" s="4">
        <f>'Raw Data'!F36</f>
        <v>366375712.60000002</v>
      </c>
      <c r="G36" s="4">
        <f>'Raw Data'!G36</f>
        <v>361480786.69999999</v>
      </c>
      <c r="H36" s="4">
        <f>'Raw Data'!H36</f>
        <v>241688965.5</v>
      </c>
    </row>
    <row r="37" spans="1:8" x14ac:dyDescent="0.2">
      <c r="A37" s="3" t="str">
        <f>'Raw Data'!A37</f>
        <v>2008-10-01</v>
      </c>
      <c r="B37" s="4">
        <f>'Raw Data'!B37</f>
        <v>1558469599</v>
      </c>
      <c r="C37" s="4">
        <f>'Raw Data'!C37</f>
        <v>900792656.20000005</v>
      </c>
      <c r="D37" s="4">
        <f>'Raw Data'!D37</f>
        <v>131839871.7</v>
      </c>
      <c r="E37" s="4">
        <f>'Raw Data'!E37</f>
        <v>489621191.19999999</v>
      </c>
      <c r="F37" s="4">
        <f>'Raw Data'!F37</f>
        <v>354488166.39999998</v>
      </c>
      <c r="G37" s="4">
        <f>'Raw Data'!G37</f>
        <v>343776284.80000001</v>
      </c>
      <c r="H37" s="4">
        <f>'Raw Data'!H37</f>
        <v>242454496.75</v>
      </c>
    </row>
    <row r="38" spans="1:8" x14ac:dyDescent="0.2">
      <c r="A38" s="3" t="str">
        <f>'Raw Data'!A38</f>
        <v>2009-01-01</v>
      </c>
      <c r="B38" s="4">
        <f>'Raw Data'!B38</f>
        <v>1579736481.2</v>
      </c>
      <c r="C38" s="4">
        <f>'Raw Data'!C38</f>
        <v>912485762.70000005</v>
      </c>
      <c r="D38" s="4">
        <f>'Raw Data'!D38</f>
        <v>150310919.40000001</v>
      </c>
      <c r="E38" s="4">
        <f>'Raw Data'!E38</f>
        <v>493338596.60000002</v>
      </c>
      <c r="F38" s="4">
        <f>'Raw Data'!F38</f>
        <v>341445889.10000002</v>
      </c>
      <c r="G38" s="4">
        <f>'Raw Data'!G38</f>
        <v>323738244.30000001</v>
      </c>
      <c r="H38" s="4">
        <f>'Raw Data'!H38</f>
        <v>243220028</v>
      </c>
    </row>
    <row r="39" spans="1:8" x14ac:dyDescent="0.2">
      <c r="A39" s="3" t="str">
        <f>'Raw Data'!A39</f>
        <v>2009-04-01</v>
      </c>
      <c r="B39" s="4">
        <f>'Raw Data'!B39</f>
        <v>1599686188.7</v>
      </c>
      <c r="C39" s="4">
        <f>'Raw Data'!C39</f>
        <v>921303714.39999998</v>
      </c>
      <c r="D39" s="4">
        <f>'Raw Data'!D39</f>
        <v>147651363.30000001</v>
      </c>
      <c r="E39" s="4">
        <f>'Raw Data'!E39</f>
        <v>494556171.69999999</v>
      </c>
      <c r="F39" s="4">
        <f>'Raw Data'!F39</f>
        <v>354302800.30000001</v>
      </c>
      <c r="G39" s="4">
        <f>'Raw Data'!G39</f>
        <v>320599583.5</v>
      </c>
      <c r="H39" s="4">
        <f>'Raw Data'!H39</f>
        <v>243991351.5</v>
      </c>
    </row>
    <row r="40" spans="1:8" x14ac:dyDescent="0.2">
      <c r="A40" s="3" t="str">
        <f>'Raw Data'!A40</f>
        <v>2009-07-01</v>
      </c>
      <c r="B40" s="4">
        <f>'Raw Data'!B40</f>
        <v>1624635349.7</v>
      </c>
      <c r="C40" s="4">
        <f>'Raw Data'!C40</f>
        <v>931632949.70000005</v>
      </c>
      <c r="D40" s="4">
        <f>'Raw Data'!D40</f>
        <v>140613054.80000001</v>
      </c>
      <c r="E40" s="4">
        <f>'Raw Data'!E40</f>
        <v>501248031</v>
      </c>
      <c r="F40" s="4">
        <f>'Raw Data'!F40</f>
        <v>368303978.10000002</v>
      </c>
      <c r="G40" s="4">
        <f>'Raw Data'!G40</f>
        <v>330650105.10000002</v>
      </c>
      <c r="H40" s="4">
        <f>'Raw Data'!H40</f>
        <v>244762675</v>
      </c>
    </row>
    <row r="41" spans="1:8" x14ac:dyDescent="0.2">
      <c r="A41" s="3" t="str">
        <f>'Raw Data'!A41</f>
        <v>2009-10-01</v>
      </c>
      <c r="B41" s="4">
        <f>'Raw Data'!B41</f>
        <v>1648551780.5</v>
      </c>
      <c r="C41" s="4">
        <f>'Raw Data'!C41</f>
        <v>941550207.70000005</v>
      </c>
      <c r="D41" s="4">
        <f>'Raw Data'!D41</f>
        <v>155858663.59999999</v>
      </c>
      <c r="E41" s="4">
        <f>'Raw Data'!E41</f>
        <v>505216912.39999998</v>
      </c>
      <c r="F41" s="4">
        <f>'Raw Data'!F41</f>
        <v>382830899.10000002</v>
      </c>
      <c r="G41" s="4">
        <f>'Raw Data'!G41</f>
        <v>343984811.80000001</v>
      </c>
      <c r="H41" s="4">
        <f>'Raw Data'!H41</f>
        <v>245533998.5</v>
      </c>
    </row>
    <row r="42" spans="1:8" x14ac:dyDescent="0.2">
      <c r="A42" s="3" t="str">
        <f>'Raw Data'!A42</f>
        <v>2010-01-01</v>
      </c>
      <c r="B42" s="4">
        <f>'Raw Data'!B42</f>
        <v>1675172557</v>
      </c>
      <c r="C42" s="4">
        <f>'Raw Data'!C42</f>
        <v>951153544.79999995</v>
      </c>
      <c r="D42" s="4">
        <f>'Raw Data'!D42</f>
        <v>144679966.59999999</v>
      </c>
      <c r="E42" s="4">
        <f>'Raw Data'!E42</f>
        <v>514500739.19999999</v>
      </c>
      <c r="F42" s="4">
        <f>'Raw Data'!F42</f>
        <v>403612987.30000001</v>
      </c>
      <c r="G42" s="4">
        <f>'Raw Data'!G42</f>
        <v>365473334.30000001</v>
      </c>
      <c r="H42" s="4">
        <f>'Raw Data'!H42</f>
        <v>246305322</v>
      </c>
    </row>
    <row r="43" spans="1:8" x14ac:dyDescent="0.2">
      <c r="A43" s="3" t="str">
        <f>'Raw Data'!A43</f>
        <v>2010-04-01</v>
      </c>
      <c r="B43" s="4">
        <f>'Raw Data'!B43</f>
        <v>1703433185.8</v>
      </c>
      <c r="C43" s="4">
        <f>'Raw Data'!C43</f>
        <v>962040949.60000002</v>
      </c>
      <c r="D43" s="4">
        <f>'Raw Data'!D43</f>
        <v>147279693.80000001</v>
      </c>
      <c r="E43" s="4">
        <f>'Raw Data'!E43</f>
        <v>527650656.5</v>
      </c>
      <c r="F43" s="4">
        <f>'Raw Data'!F43</f>
        <v>404901214.89999998</v>
      </c>
      <c r="G43" s="4">
        <f>'Raw Data'!G43</f>
        <v>378463115.39999998</v>
      </c>
      <c r="H43" s="4">
        <f>'Raw Data'!H43</f>
        <v>247096499.5</v>
      </c>
    </row>
    <row r="44" spans="1:8" x14ac:dyDescent="0.2">
      <c r="A44" s="3" t="str">
        <f>'Raw Data'!A44</f>
        <v>2010-07-01</v>
      </c>
      <c r="B44" s="4">
        <f>'Raw Data'!B44</f>
        <v>1728907813.0999999</v>
      </c>
      <c r="C44" s="4">
        <f>'Raw Data'!C44</f>
        <v>965860559.29999995</v>
      </c>
      <c r="D44" s="4">
        <f>'Raw Data'!D44</f>
        <v>161277015.30000001</v>
      </c>
      <c r="E44" s="4">
        <f>'Raw Data'!E44</f>
        <v>536620562.39999998</v>
      </c>
      <c r="F44" s="4">
        <f>'Raw Data'!F44</f>
        <v>413552872.60000002</v>
      </c>
      <c r="G44" s="4">
        <f>'Raw Data'!G44</f>
        <v>387156504.60000002</v>
      </c>
      <c r="H44" s="4">
        <f>'Raw Data'!H44</f>
        <v>247887677</v>
      </c>
    </row>
    <row r="45" spans="1:8" x14ac:dyDescent="0.2">
      <c r="A45" s="3" t="str">
        <f>'Raw Data'!A45</f>
        <v>2010-10-01</v>
      </c>
      <c r="B45" s="4">
        <f>'Raw Data'!B45</f>
        <v>1756619544.0999999</v>
      </c>
      <c r="C45" s="4">
        <f>'Raw Data'!C45</f>
        <v>979766718.10000002</v>
      </c>
      <c r="D45" s="4">
        <f>'Raw Data'!D45</f>
        <v>164941314.30000001</v>
      </c>
      <c r="E45" s="4">
        <f>'Raw Data'!E45</f>
        <v>549068723.89999998</v>
      </c>
      <c r="F45" s="4">
        <f>'Raw Data'!F45</f>
        <v>445850750.69999999</v>
      </c>
      <c r="G45" s="4">
        <f>'Raw Data'!G45</f>
        <v>406626818.5</v>
      </c>
      <c r="H45" s="4">
        <f>'Raw Data'!H45</f>
        <v>248678854.5</v>
      </c>
    </row>
    <row r="46" spans="1:8" x14ac:dyDescent="0.2">
      <c r="A46" s="3" t="str">
        <f>'Raw Data'!A46</f>
        <v>2011-01-01</v>
      </c>
      <c r="B46" s="4">
        <f>'Raw Data'!B46</f>
        <v>1782182595.5999999</v>
      </c>
      <c r="C46" s="4">
        <f>'Raw Data'!C46</f>
        <v>992750203.20000005</v>
      </c>
      <c r="D46" s="4">
        <f>'Raw Data'!D46</f>
        <v>157363106.40000001</v>
      </c>
      <c r="E46" s="4">
        <f>'Raw Data'!E46</f>
        <v>562380421.79999995</v>
      </c>
      <c r="F46" s="4">
        <f>'Raw Data'!F46</f>
        <v>454396576.5</v>
      </c>
      <c r="G46" s="4">
        <f>'Raw Data'!G46</f>
        <v>420203996.80000001</v>
      </c>
      <c r="H46" s="4">
        <f>'Raw Data'!H46</f>
        <v>249470032</v>
      </c>
    </row>
    <row r="47" spans="1:8" x14ac:dyDescent="0.2">
      <c r="A47" s="3" t="str">
        <f>'Raw Data'!A47</f>
        <v>2011-04-01</v>
      </c>
      <c r="B47" s="4">
        <f>'Raw Data'!B47</f>
        <v>1807970614.5</v>
      </c>
      <c r="C47" s="4">
        <f>'Raw Data'!C47</f>
        <v>1006631199.8</v>
      </c>
      <c r="D47" s="4">
        <f>'Raw Data'!D47</f>
        <v>157380353.30000001</v>
      </c>
      <c r="E47" s="4">
        <f>'Raw Data'!E47</f>
        <v>572131769.29999995</v>
      </c>
      <c r="F47" s="4">
        <f>'Raw Data'!F47</f>
        <v>479241510.69999999</v>
      </c>
      <c r="G47" s="4">
        <f>'Raw Data'!G47</f>
        <v>430412968.69999999</v>
      </c>
      <c r="H47" s="4">
        <f>'Raw Data'!H47</f>
        <v>250277155.25</v>
      </c>
    </row>
    <row r="48" spans="1:8" x14ac:dyDescent="0.2">
      <c r="A48" s="3" t="str">
        <f>'Raw Data'!A48</f>
        <v>2011-07-01</v>
      </c>
      <c r="B48" s="4">
        <f>'Raw Data'!B48</f>
        <v>1835409706.8</v>
      </c>
      <c r="C48" s="4">
        <f>'Raw Data'!C48</f>
        <v>1020539755.1</v>
      </c>
      <c r="D48" s="4">
        <f>'Raw Data'!D48</f>
        <v>167790132</v>
      </c>
      <c r="E48" s="4">
        <f>'Raw Data'!E48</f>
        <v>584052992.10000002</v>
      </c>
      <c r="F48" s="4">
        <f>'Raw Data'!F48</f>
        <v>494177314</v>
      </c>
      <c r="G48" s="4">
        <f>'Raw Data'!G48</f>
        <v>457903885.60000002</v>
      </c>
      <c r="H48" s="4">
        <f>'Raw Data'!H48</f>
        <v>251084278.5</v>
      </c>
    </row>
    <row r="49" spans="1:8" x14ac:dyDescent="0.2">
      <c r="A49" s="3" t="str">
        <f>'Raw Data'!A49</f>
        <v>2011-10-01</v>
      </c>
      <c r="B49" s="4">
        <f>'Raw Data'!B49</f>
        <v>1862072383.0999999</v>
      </c>
      <c r="C49" s="4">
        <f>'Raw Data'!C49</f>
        <v>1034157736.7</v>
      </c>
      <c r="D49" s="4">
        <f>'Raw Data'!D49</f>
        <v>169758098.40000001</v>
      </c>
      <c r="E49" s="4">
        <f>'Raw Data'!E49</f>
        <v>597793920.89999998</v>
      </c>
      <c r="F49" s="4">
        <f>'Raw Data'!F49</f>
        <v>486452540.19999999</v>
      </c>
      <c r="G49" s="4">
        <f>'Raw Data'!G49</f>
        <v>460301022.69999999</v>
      </c>
      <c r="H49" s="4">
        <f>'Raw Data'!H49</f>
        <v>251891401.75</v>
      </c>
    </row>
    <row r="50" spans="1:8" x14ac:dyDescent="0.2">
      <c r="A50" s="3" t="str">
        <f>'Raw Data'!A50</f>
        <v>2012-01-01</v>
      </c>
      <c r="B50" s="4">
        <f>'Raw Data'!B50</f>
        <v>1890327515.5</v>
      </c>
      <c r="C50" s="4">
        <f>'Raw Data'!C50</f>
        <v>1047832101</v>
      </c>
      <c r="D50" s="4">
        <f>'Raw Data'!D50</f>
        <v>167959720.40000001</v>
      </c>
      <c r="E50" s="4">
        <f>'Raw Data'!E50</f>
        <v>611625618.29999995</v>
      </c>
      <c r="F50" s="4">
        <f>'Raw Data'!F50</f>
        <v>486705840.80000001</v>
      </c>
      <c r="G50" s="4">
        <f>'Raw Data'!G50</f>
        <v>468140678</v>
      </c>
      <c r="H50" s="4">
        <f>'Raw Data'!H50</f>
        <v>252698525</v>
      </c>
    </row>
    <row r="51" spans="1:8" x14ac:dyDescent="0.2">
      <c r="A51" s="3" t="str">
        <f>'Raw Data'!A51</f>
        <v>2012-04-01</v>
      </c>
      <c r="B51" s="4">
        <f>'Raw Data'!B51</f>
        <v>1918317446.2</v>
      </c>
      <c r="C51" s="4">
        <f>'Raw Data'!C51</f>
        <v>1062466456.5</v>
      </c>
      <c r="D51" s="4">
        <f>'Raw Data'!D51</f>
        <v>180558544.69999999</v>
      </c>
      <c r="E51" s="4">
        <f>'Raw Data'!E51</f>
        <v>626320636.29999995</v>
      </c>
      <c r="F51" s="4">
        <f>'Raw Data'!F51</f>
        <v>486946475.89999998</v>
      </c>
      <c r="G51" s="4">
        <f>'Raw Data'!G51</f>
        <v>484899063.80000001</v>
      </c>
      <c r="H51" s="4">
        <f>'Raw Data'!H51</f>
        <v>253487010.5</v>
      </c>
    </row>
    <row r="52" spans="1:8" x14ac:dyDescent="0.2">
      <c r="A52" s="3" t="str">
        <f>'Raw Data'!A52</f>
        <v>2012-07-01</v>
      </c>
      <c r="B52" s="4">
        <f>'Raw Data'!B52</f>
        <v>1945632295.8</v>
      </c>
      <c r="C52" s="4">
        <f>'Raw Data'!C52</f>
        <v>1076661800.7</v>
      </c>
      <c r="D52" s="4">
        <f>'Raw Data'!D52</f>
        <v>163501646.40000001</v>
      </c>
      <c r="E52" s="4">
        <f>'Raw Data'!E52</f>
        <v>639470776.39999998</v>
      </c>
      <c r="F52" s="4">
        <f>'Raw Data'!F52</f>
        <v>486175780.39999998</v>
      </c>
      <c r="G52" s="4">
        <f>'Raw Data'!G52</f>
        <v>468704922.19999999</v>
      </c>
      <c r="H52" s="4">
        <f>'Raw Data'!H52</f>
        <v>254275496</v>
      </c>
    </row>
    <row r="53" spans="1:8" x14ac:dyDescent="0.2">
      <c r="A53" s="3" t="str">
        <f>'Raw Data'!A53</f>
        <v>2012-10-01</v>
      </c>
      <c r="B53" s="4">
        <f>'Raw Data'!B53</f>
        <v>1972806142.5</v>
      </c>
      <c r="C53" s="4">
        <f>'Raw Data'!C53</f>
        <v>1090745857.2</v>
      </c>
      <c r="D53" s="4">
        <f>'Raw Data'!D53</f>
        <v>169799088.5</v>
      </c>
      <c r="E53" s="4">
        <f>'Raw Data'!E53</f>
        <v>650311759.5</v>
      </c>
      <c r="F53" s="4">
        <f>'Raw Data'!F53</f>
        <v>485235605.80000001</v>
      </c>
      <c r="G53" s="4">
        <f>'Raw Data'!G53</f>
        <v>488554857</v>
      </c>
      <c r="H53" s="4">
        <f>'Raw Data'!H53</f>
        <v>255063981.5</v>
      </c>
    </row>
    <row r="54" spans="1:8" x14ac:dyDescent="0.2">
      <c r="A54" s="3" t="str">
        <f>'Raw Data'!A54</f>
        <v>2013-01-01</v>
      </c>
      <c r="B54" s="4">
        <f>'Raw Data'!B54</f>
        <v>1999867862.7</v>
      </c>
      <c r="C54" s="4">
        <f>'Raw Data'!C54</f>
        <v>1105713955.5</v>
      </c>
      <c r="D54" s="4">
        <f>'Raw Data'!D54</f>
        <v>173241204.09999999</v>
      </c>
      <c r="E54" s="4">
        <f>'Raw Data'!E54</f>
        <v>654743924.20000005</v>
      </c>
      <c r="F54" s="4">
        <f>'Raw Data'!F54</f>
        <v>497833022.10000002</v>
      </c>
      <c r="G54" s="4">
        <f>'Raw Data'!G54</f>
        <v>479289320.30000001</v>
      </c>
      <c r="H54" s="4">
        <f>'Raw Data'!H54</f>
        <v>255852467</v>
      </c>
    </row>
    <row r="55" spans="1:8" x14ac:dyDescent="0.2">
      <c r="A55" s="3" t="str">
        <f>'Raw Data'!A55</f>
        <v>2013-04-01</v>
      </c>
      <c r="B55" s="4">
        <f>'Raw Data'!B55</f>
        <v>2026008935.3</v>
      </c>
      <c r="C55" s="4">
        <f>'Raw Data'!C55</f>
        <v>1119956670.2</v>
      </c>
      <c r="D55" s="4">
        <f>'Raw Data'!D55</f>
        <v>186621531.5</v>
      </c>
      <c r="E55" s="4">
        <f>'Raw Data'!E55</f>
        <v>660235240.60000002</v>
      </c>
      <c r="F55" s="4">
        <f>'Raw Data'!F55</f>
        <v>503154060.19999999</v>
      </c>
      <c r="G55" s="4">
        <f>'Raw Data'!G55</f>
        <v>486980176.19999999</v>
      </c>
      <c r="H55" s="4">
        <f>'Raw Data'!H55</f>
        <v>256608700</v>
      </c>
    </row>
    <row r="56" spans="1:8" x14ac:dyDescent="0.2">
      <c r="A56" s="3" t="str">
        <f>'Raw Data'!A56</f>
        <v>2013-07-01</v>
      </c>
      <c r="B56" s="4">
        <f>'Raw Data'!B56</f>
        <v>2052231834.9000001</v>
      </c>
      <c r="C56" s="4">
        <f>'Raw Data'!C56</f>
        <v>1135581696.3</v>
      </c>
      <c r="D56" s="4">
        <f>'Raw Data'!D56</f>
        <v>183774958.5</v>
      </c>
      <c r="E56" s="4">
        <f>'Raw Data'!E56</f>
        <v>666876887.89999998</v>
      </c>
      <c r="F56" s="4">
        <f>'Raw Data'!F56</f>
        <v>499562700.30000001</v>
      </c>
      <c r="G56" s="4">
        <f>'Raw Data'!G56</f>
        <v>493401140.60000002</v>
      </c>
      <c r="H56" s="4">
        <f>'Raw Data'!H56</f>
        <v>257364933</v>
      </c>
    </row>
    <row r="57" spans="1:8" x14ac:dyDescent="0.2">
      <c r="A57" s="3" t="str">
        <f>'Raw Data'!A57</f>
        <v>2013-10-01</v>
      </c>
      <c r="B57" s="4">
        <f>'Raw Data'!B57</f>
        <v>2078389167.2</v>
      </c>
      <c r="C57" s="4">
        <f>'Raw Data'!C57</f>
        <v>1150782587.8</v>
      </c>
      <c r="D57" s="4">
        <f>'Raw Data'!D57</f>
        <v>184174385.90000001</v>
      </c>
      <c r="E57" s="4">
        <f>'Raw Data'!E57</f>
        <v>672518984</v>
      </c>
      <c r="F57" s="4">
        <f>'Raw Data'!F57</f>
        <v>525563898.39999998</v>
      </c>
      <c r="G57" s="4">
        <f>'Raw Data'!G57</f>
        <v>486196686.89999998</v>
      </c>
      <c r="H57" s="4">
        <f>'Raw Data'!H57</f>
        <v>258121166</v>
      </c>
    </row>
    <row r="58" spans="1:8" x14ac:dyDescent="0.2">
      <c r="A58" s="3" t="str">
        <f>'Raw Data'!A58</f>
        <v>2014-01-01</v>
      </c>
      <c r="B58" s="4">
        <f>'Raw Data'!B58</f>
        <v>2103242353.3</v>
      </c>
      <c r="C58" s="4">
        <f>'Raw Data'!C58</f>
        <v>1166235972.2</v>
      </c>
      <c r="D58" s="4">
        <f>'Raw Data'!D58</f>
        <v>183022847.40000001</v>
      </c>
      <c r="E58" s="4">
        <f>'Raw Data'!E58</f>
        <v>681798377.20000005</v>
      </c>
      <c r="F58" s="4">
        <f>'Raw Data'!F58</f>
        <v>511382234.10000002</v>
      </c>
      <c r="G58" s="4">
        <f>'Raw Data'!G58</f>
        <v>499002866.60000002</v>
      </c>
      <c r="H58" s="4">
        <f>'Raw Data'!H58</f>
        <v>258877399</v>
      </c>
    </row>
    <row r="59" spans="1:8" x14ac:dyDescent="0.2">
      <c r="A59" s="3" t="str">
        <f>'Raw Data'!A59</f>
        <v>2014-04-01</v>
      </c>
      <c r="B59" s="4">
        <f>'Raw Data'!B59</f>
        <v>2128987700.5</v>
      </c>
      <c r="C59" s="4">
        <f>'Raw Data'!C59</f>
        <v>1181062083.9000001</v>
      </c>
      <c r="D59" s="4">
        <f>'Raw Data'!D59</f>
        <v>182572140.5</v>
      </c>
      <c r="E59" s="4">
        <f>'Raw Data'!E59</f>
        <v>690289668.5</v>
      </c>
      <c r="F59" s="4">
        <f>'Raw Data'!F59</f>
        <v>511350027.30000001</v>
      </c>
      <c r="G59" s="4">
        <f>'Raw Data'!G59</f>
        <v>498460766.10000002</v>
      </c>
      <c r="H59" s="4">
        <f>'Raw Data'!H59</f>
        <v>259607861.5</v>
      </c>
    </row>
    <row r="60" spans="1:8" x14ac:dyDescent="0.2">
      <c r="A60" s="3" t="str">
        <f>'Raw Data'!A60</f>
        <v>2014-07-01</v>
      </c>
      <c r="B60" s="4">
        <f>'Raw Data'!B60</f>
        <v>2154020904.0999999</v>
      </c>
      <c r="C60" s="4">
        <f>'Raw Data'!C60</f>
        <v>1194378364.7</v>
      </c>
      <c r="D60" s="4">
        <f>'Raw Data'!D60</f>
        <v>184650545.5</v>
      </c>
      <c r="E60" s="4">
        <f>'Raw Data'!E60</f>
        <v>696576511.89999998</v>
      </c>
      <c r="F60" s="4">
        <f>'Raw Data'!F60</f>
        <v>515139886.30000001</v>
      </c>
      <c r="G60" s="4">
        <f>'Raw Data'!G60</f>
        <v>493288698.10000002</v>
      </c>
      <c r="H60" s="4">
        <f>'Raw Data'!H60</f>
        <v>260338324</v>
      </c>
    </row>
    <row r="61" spans="1:8" x14ac:dyDescent="0.2">
      <c r="A61" s="3" t="str">
        <f>'Raw Data'!A61</f>
        <v>2014-10-01</v>
      </c>
      <c r="B61" s="4">
        <f>'Raw Data'!B61</f>
        <v>2178615642</v>
      </c>
      <c r="C61" s="4">
        <f>'Raw Data'!C61</f>
        <v>1208762022.4000001</v>
      </c>
      <c r="D61" s="4">
        <f>'Raw Data'!D61</f>
        <v>186037576.5</v>
      </c>
      <c r="E61" s="4">
        <f>'Raw Data'!E61</f>
        <v>703806209.5</v>
      </c>
      <c r="F61" s="4">
        <f>'Raw Data'!F61</f>
        <v>510014953.30000001</v>
      </c>
      <c r="G61" s="4">
        <f>'Raw Data'!G61</f>
        <v>496361588.60000002</v>
      </c>
      <c r="H61" s="4">
        <f>'Raw Data'!H61</f>
        <v>261068786.5</v>
      </c>
    </row>
    <row r="62" spans="1:8" x14ac:dyDescent="0.2">
      <c r="A62" s="3" t="str">
        <f>'Raw Data'!A62</f>
        <v>2015-01-01</v>
      </c>
      <c r="B62" s="4">
        <f>'Raw Data'!B62</f>
        <v>2205428638.0999999</v>
      </c>
      <c r="C62" s="4">
        <f>'Raw Data'!C62</f>
        <v>1222705556.7</v>
      </c>
      <c r="D62" s="4">
        <f>'Raw Data'!D62</f>
        <v>188373213.5</v>
      </c>
      <c r="E62" s="4">
        <f>'Raw Data'!E62</f>
        <v>713720634.60000002</v>
      </c>
      <c r="F62" s="4">
        <f>'Raw Data'!F62</f>
        <v>507852216.10000002</v>
      </c>
      <c r="G62" s="4">
        <f>'Raw Data'!G62</f>
        <v>479008010.60000002</v>
      </c>
      <c r="H62" s="4">
        <f>'Raw Data'!H62</f>
        <v>261799249</v>
      </c>
    </row>
    <row r="63" spans="1:8" x14ac:dyDescent="0.2">
      <c r="A63" s="3" t="str">
        <f>'Raw Data'!A63</f>
        <v>2015-04-01</v>
      </c>
      <c r="B63" s="4">
        <f>'Raw Data'!B63</f>
        <v>2230976381.8000002</v>
      </c>
      <c r="C63" s="4">
        <f>'Raw Data'!C63</f>
        <v>1236943340.2</v>
      </c>
      <c r="D63" s="4">
        <f>'Raw Data'!D63</f>
        <v>188455706.19999999</v>
      </c>
      <c r="E63" s="4">
        <f>'Raw Data'!E63</f>
        <v>723192200.60000002</v>
      </c>
      <c r="F63" s="4">
        <f>'Raw Data'!F63</f>
        <v>503264351.69999999</v>
      </c>
      <c r="G63" s="4">
        <f>'Raw Data'!G63</f>
        <v>467789964.5</v>
      </c>
      <c r="H63" s="4">
        <f>'Raw Data'!H63</f>
        <v>262506291.25</v>
      </c>
    </row>
    <row r="64" spans="1:8" x14ac:dyDescent="0.2">
      <c r="A64" s="3" t="str">
        <f>'Raw Data'!A64</f>
        <v>2015-07-01</v>
      </c>
      <c r="B64" s="4">
        <f>'Raw Data'!B64</f>
        <v>2258579199.3000002</v>
      </c>
      <c r="C64" s="4">
        <f>'Raw Data'!C64</f>
        <v>1252755212.9000001</v>
      </c>
      <c r="D64" s="4">
        <f>'Raw Data'!D64</f>
        <v>198291317.40000001</v>
      </c>
      <c r="E64" s="4">
        <f>'Raw Data'!E64</f>
        <v>732630404.29999995</v>
      </c>
      <c r="F64" s="4">
        <f>'Raw Data'!F64</f>
        <v>506043855.69999999</v>
      </c>
      <c r="G64" s="4">
        <f>'Raw Data'!G64</f>
        <v>464182130.39999998</v>
      </c>
      <c r="H64" s="4">
        <f>'Raw Data'!H64</f>
        <v>263213333.5</v>
      </c>
    </row>
    <row r="65" spans="1:8" x14ac:dyDescent="0.2">
      <c r="A65" s="3" t="str">
        <f>'Raw Data'!A65</f>
        <v>2015-10-01</v>
      </c>
      <c r="B65" s="4">
        <f>'Raw Data'!B65</f>
        <v>2287532880.8000002</v>
      </c>
      <c r="C65" s="4">
        <f>'Raw Data'!C65</f>
        <v>1268026550.5</v>
      </c>
      <c r="D65" s="4">
        <f>'Raw Data'!D65</f>
        <v>200277752.90000001</v>
      </c>
      <c r="E65" s="4">
        <f>'Raw Data'!E65</f>
        <v>741812743.39999998</v>
      </c>
      <c r="F65" s="4">
        <f>'Raw Data'!F65</f>
        <v>487306561.60000002</v>
      </c>
      <c r="G65" s="4">
        <f>'Raw Data'!G65</f>
        <v>451958845.60000002</v>
      </c>
      <c r="H65" s="4">
        <f>'Raw Data'!H65</f>
        <v>263920375.75</v>
      </c>
    </row>
    <row r="66" spans="1:8" x14ac:dyDescent="0.2">
      <c r="A66" s="3" t="str">
        <f>'Raw Data'!A66</f>
        <v>2016-01-01</v>
      </c>
      <c r="B66" s="4">
        <f>'Raw Data'!B66</f>
        <v>2314818296.5</v>
      </c>
      <c r="C66" s="4">
        <f>'Raw Data'!C66</f>
        <v>1283884434.8</v>
      </c>
      <c r="D66" s="4">
        <f>'Raw Data'!D66</f>
        <v>193308707.80000001</v>
      </c>
      <c r="E66" s="4">
        <f>'Raw Data'!E66</f>
        <v>748901460.89999998</v>
      </c>
      <c r="F66" s="4">
        <f>'Raw Data'!F66</f>
        <v>485995717.60000002</v>
      </c>
      <c r="G66" s="4">
        <f>'Raw Data'!G66</f>
        <v>450851733.10000002</v>
      </c>
      <c r="H66" s="4">
        <f>'Raw Data'!H66</f>
        <v>264627418</v>
      </c>
    </row>
    <row r="67" spans="1:8" x14ac:dyDescent="0.2">
      <c r="A67" s="3" t="str">
        <f>'Raw Data'!A67</f>
        <v>2016-04-01</v>
      </c>
      <c r="B67" s="4">
        <f>'Raw Data'!B67</f>
        <v>2344644370.3000002</v>
      </c>
      <c r="C67" s="4">
        <f>'Raw Data'!C67</f>
        <v>1299949831.8</v>
      </c>
      <c r="D67" s="4">
        <f>'Raw Data'!D67</f>
        <v>198382717.40000001</v>
      </c>
      <c r="E67" s="4">
        <f>'Raw Data'!E67</f>
        <v>755699447.20000005</v>
      </c>
      <c r="F67" s="4">
        <f>'Raw Data'!F67</f>
        <v>497418531.10000002</v>
      </c>
      <c r="G67" s="4">
        <f>'Raw Data'!G67</f>
        <v>458965817.89999998</v>
      </c>
      <c r="H67" s="4">
        <f>'Raw Data'!H67</f>
        <v>265307228</v>
      </c>
    </row>
    <row r="68" spans="1:8" x14ac:dyDescent="0.2">
      <c r="A68" s="3" t="str">
        <f>'Raw Data'!A68</f>
        <v>2016-07-01</v>
      </c>
      <c r="B68" s="4">
        <f>'Raw Data'!B68</f>
        <v>2373238785.4000001</v>
      </c>
      <c r="C68" s="4">
        <f>'Raw Data'!C68</f>
        <v>1315958668.7</v>
      </c>
      <c r="D68" s="4">
        <f>'Raw Data'!D68</f>
        <v>190644236.69999999</v>
      </c>
      <c r="E68" s="4">
        <f>'Raw Data'!E68</f>
        <v>763605027.60000002</v>
      </c>
      <c r="F68" s="4">
        <f>'Raw Data'!F68</f>
        <v>480425494.39999998</v>
      </c>
      <c r="G68" s="4">
        <f>'Raw Data'!G68</f>
        <v>445178204.5</v>
      </c>
      <c r="H68" s="4">
        <f>'Raw Data'!H68</f>
        <v>265987038</v>
      </c>
    </row>
    <row r="69" spans="1:8" x14ac:dyDescent="0.2">
      <c r="A69" s="3" t="str">
        <f>'Raw Data'!A69</f>
        <v>2016-10-01</v>
      </c>
      <c r="B69" s="4">
        <f>'Raw Data'!B69</f>
        <v>2401911947.6999998</v>
      </c>
      <c r="C69" s="4">
        <f>'Raw Data'!C69</f>
        <v>1331877304.7</v>
      </c>
      <c r="D69" s="4">
        <f>'Raw Data'!D69</f>
        <v>191968858.09999999</v>
      </c>
      <c r="E69" s="4">
        <f>'Raw Data'!E69</f>
        <v>773378741</v>
      </c>
      <c r="F69" s="4">
        <f>'Raw Data'!F69</f>
        <v>507342895.19999999</v>
      </c>
      <c r="G69" s="4">
        <f>'Raw Data'!G69</f>
        <v>463137407</v>
      </c>
      <c r="H69" s="4">
        <f>'Raw Data'!H69</f>
        <v>266666848</v>
      </c>
    </row>
    <row r="70" spans="1:8" x14ac:dyDescent="0.2">
      <c r="A70" s="3" t="str">
        <f>'Raw Data'!A70</f>
        <v>2017-01-01</v>
      </c>
      <c r="B70" s="4">
        <f>'Raw Data'!B70</f>
        <v>2432412007.9000001</v>
      </c>
      <c r="C70" s="4">
        <f>'Raw Data'!C70</f>
        <v>1348295046</v>
      </c>
      <c r="D70" s="4">
        <f>'Raw Data'!D70</f>
        <v>197259686.80000001</v>
      </c>
      <c r="E70" s="4">
        <f>'Raw Data'!E70</f>
        <v>785378248.39999998</v>
      </c>
      <c r="F70" s="4">
        <f>'Raw Data'!F70</f>
        <v>522532484.30000001</v>
      </c>
      <c r="G70" s="4">
        <f>'Raw Data'!G70</f>
        <v>471216488.39999998</v>
      </c>
      <c r="H70" s="4">
        <f>'Raw Data'!H70</f>
        <v>267346658</v>
      </c>
    </row>
    <row r="71" spans="1:8" x14ac:dyDescent="0.2">
      <c r="A71" s="3" t="str">
        <f>'Raw Data'!A71</f>
        <v>2017-04-01</v>
      </c>
      <c r="B71" s="4">
        <f>'Raw Data'!B71</f>
        <v>2462033897.0999999</v>
      </c>
      <c r="C71" s="4">
        <f>'Raw Data'!C71</f>
        <v>1364249663.9000001</v>
      </c>
      <c r="D71" s="4">
        <f>'Raw Data'!D71</f>
        <v>194918543.80000001</v>
      </c>
      <c r="E71" s="4">
        <f>'Raw Data'!E71</f>
        <v>800052631.70000005</v>
      </c>
      <c r="F71" s="4">
        <f>'Raw Data'!F71</f>
        <v>523210090.69999999</v>
      </c>
      <c r="G71" s="4">
        <f>'Raw Data'!G71</f>
        <v>473414447.60000002</v>
      </c>
      <c r="H71" s="4">
        <f>'Raw Data'!H71</f>
        <v>267997955</v>
      </c>
    </row>
    <row r="72" spans="1:8" x14ac:dyDescent="0.2">
      <c r="A72" s="3" t="str">
        <f>'Raw Data'!A72</f>
        <v>2017-07-01</v>
      </c>
      <c r="B72" s="4">
        <f>'Raw Data'!B72</f>
        <v>2493343946</v>
      </c>
      <c r="C72" s="4">
        <f>'Raw Data'!C72</f>
        <v>1381428663.9000001</v>
      </c>
      <c r="D72" s="4">
        <f>'Raw Data'!D72</f>
        <v>197535300.90000001</v>
      </c>
      <c r="E72" s="4">
        <f>'Raw Data'!E72</f>
        <v>814341954.89999998</v>
      </c>
      <c r="F72" s="4">
        <f>'Raw Data'!F72</f>
        <v>548082743.70000005</v>
      </c>
      <c r="G72" s="4">
        <f>'Raw Data'!G72</f>
        <v>503043942</v>
      </c>
      <c r="H72" s="4">
        <f>'Raw Data'!H72</f>
        <v>268649252</v>
      </c>
    </row>
    <row r="73" spans="1:8" x14ac:dyDescent="0.2">
      <c r="A73" s="3" t="str">
        <f>'Raw Data'!A73</f>
        <v>2017-10-01</v>
      </c>
      <c r="B73" s="4">
        <f>'Raw Data'!B73</f>
        <v>2525138248.9000001</v>
      </c>
      <c r="C73" s="4">
        <f>'Raw Data'!C73</f>
        <v>1398319620</v>
      </c>
      <c r="D73" s="4">
        <f>'Raw Data'!D73</f>
        <v>201042868.5</v>
      </c>
      <c r="E73" s="4">
        <f>'Raw Data'!E73</f>
        <v>828990172.39999998</v>
      </c>
      <c r="F73" s="4">
        <f>'Raw Data'!F73</f>
        <v>552739198.10000002</v>
      </c>
      <c r="G73" s="4">
        <f>'Raw Data'!G73</f>
        <v>517144290.80000001</v>
      </c>
      <c r="H73" s="4">
        <f>'Raw Data'!H73</f>
        <v>269300549</v>
      </c>
    </row>
    <row r="74" spans="1:8" x14ac:dyDescent="0.2">
      <c r="A74" s="3" t="str">
        <f>'Raw Data'!A74</f>
        <v>2018-01-01</v>
      </c>
      <c r="B74" s="4">
        <f>'Raw Data'!B74</f>
        <v>2557067719.8000002</v>
      </c>
      <c r="C74" s="4">
        <f>'Raw Data'!C74</f>
        <v>1415461331.5999999</v>
      </c>
      <c r="D74" s="4">
        <f>'Raw Data'!D74</f>
        <v>202649006.90000001</v>
      </c>
      <c r="E74" s="4">
        <f>'Raw Data'!E74</f>
        <v>843211528.89999998</v>
      </c>
      <c r="F74" s="4">
        <f>'Raw Data'!F74</f>
        <v>564358735.70000005</v>
      </c>
      <c r="G74" s="4">
        <f>'Raw Data'!G74</f>
        <v>543262718.89999998</v>
      </c>
      <c r="H74" s="4">
        <f>'Raw Data'!H74</f>
        <v>269951846</v>
      </c>
    </row>
    <row r="75" spans="1:8" x14ac:dyDescent="0.2">
      <c r="A75" s="3" t="str">
        <f>'Raw Data'!A75</f>
        <v>2018-04-01</v>
      </c>
      <c r="B75" s="4">
        <f>'Raw Data'!B75</f>
        <v>2589853860.0999999</v>
      </c>
      <c r="C75" s="4">
        <f>'Raw Data'!C75</f>
        <v>1434430176.4000001</v>
      </c>
      <c r="D75" s="4">
        <f>'Raw Data'!D75</f>
        <v>205530399.80000001</v>
      </c>
      <c r="E75" s="4">
        <f>'Raw Data'!E75</f>
        <v>855179192.5</v>
      </c>
      <c r="F75" s="4">
        <f>'Raw Data'!F75</f>
        <v>570959992.10000002</v>
      </c>
      <c r="G75" s="4">
        <f>'Raw Data'!G75</f>
        <v>551848008.29999995</v>
      </c>
      <c r="H75" s="4">
        <f>'Raw Data'!H75</f>
        <v>270586229.75</v>
      </c>
    </row>
    <row r="76" spans="1:8" x14ac:dyDescent="0.2">
      <c r="A76" s="3" t="str">
        <f>'Raw Data'!A76</f>
        <v>2018-07-01</v>
      </c>
      <c r="B76" s="4">
        <f>'Raw Data'!B76</f>
        <v>2622737460.5</v>
      </c>
      <c r="C76" s="4">
        <f>'Raw Data'!C76</f>
        <v>1451933809.7</v>
      </c>
      <c r="D76" s="4">
        <f>'Raw Data'!D76</f>
        <v>209552293.40000001</v>
      </c>
      <c r="E76" s="4">
        <f>'Raw Data'!E76</f>
        <v>867371501.60000002</v>
      </c>
      <c r="F76" s="4">
        <f>'Raw Data'!F76</f>
        <v>575577686.10000002</v>
      </c>
      <c r="G76" s="4">
        <f>'Raw Data'!G76</f>
        <v>558100983.70000005</v>
      </c>
      <c r="H76" s="4">
        <f>'Raw Data'!H76</f>
        <v>271220613.5</v>
      </c>
    </row>
    <row r="77" spans="1:8" x14ac:dyDescent="0.2">
      <c r="A77" s="3" t="str">
        <f>'Raw Data'!A77</f>
        <v>2018-10-01</v>
      </c>
      <c r="B77" s="4">
        <f>'Raw Data'!B77</f>
        <v>2656192859.5999999</v>
      </c>
      <c r="C77" s="4">
        <f>'Raw Data'!C77</f>
        <v>1472600793.9000001</v>
      </c>
      <c r="D77" s="4">
        <f>'Raw Data'!D77</f>
        <v>211144879.90000001</v>
      </c>
      <c r="E77" s="4">
        <f>'Raw Data'!E77</f>
        <v>878548028.39999998</v>
      </c>
      <c r="F77" s="4">
        <f>'Raw Data'!F77</f>
        <v>575498479.29999995</v>
      </c>
      <c r="G77" s="4">
        <f>'Raw Data'!G77</f>
        <v>550058229.39999998</v>
      </c>
      <c r="H77" s="4">
        <f>'Raw Data'!H77</f>
        <v>271854997.25</v>
      </c>
    </row>
    <row r="78" spans="1:8" x14ac:dyDescent="0.2">
      <c r="A78" s="3" t="str">
        <f>'Raw Data'!A78</f>
        <v>2019-01-01</v>
      </c>
      <c r="B78" s="4">
        <f>'Raw Data'!B78</f>
        <v>2689375112.4000001</v>
      </c>
      <c r="C78" s="4">
        <f>'Raw Data'!C78</f>
        <v>1494407366.5999999</v>
      </c>
      <c r="D78" s="4">
        <f>'Raw Data'!D78</f>
        <v>211878893.30000001</v>
      </c>
      <c r="E78" s="4">
        <f>'Raw Data'!E78</f>
        <v>889028495.39999998</v>
      </c>
      <c r="F78" s="4">
        <f>'Raw Data'!F78</f>
        <v>567812316.39999998</v>
      </c>
      <c r="G78" s="4">
        <f>'Raw Data'!G78</f>
        <v>524336346.60000002</v>
      </c>
      <c r="H78" s="4">
        <f>'Raw Data'!H78</f>
        <v>272489381</v>
      </c>
    </row>
    <row r="79" spans="1:8" x14ac:dyDescent="0.2">
      <c r="A79" s="3" t="str">
        <f>'Raw Data'!A79</f>
        <v>2019-04-01</v>
      </c>
      <c r="B79" s="4">
        <f>'Raw Data'!B79</f>
        <v>2722616908.9000001</v>
      </c>
      <c r="C79" s="4">
        <f>'Raw Data'!C79</f>
        <v>1515515702.3</v>
      </c>
      <c r="D79" s="4">
        <f>'Raw Data'!D79</f>
        <v>221483835.19999999</v>
      </c>
      <c r="E79" s="4">
        <f>'Raw Data'!E79</f>
        <v>897322988.29999995</v>
      </c>
      <c r="F79" s="4">
        <f>'Raw Data'!F79</f>
        <v>563080257.10000002</v>
      </c>
      <c r="G79" s="4">
        <f>'Raw Data'!G79</f>
        <v>512306854</v>
      </c>
      <c r="H79" s="4">
        <f>'Raw Data'!H79</f>
        <v>273070752.25</v>
      </c>
    </row>
    <row r="80" spans="1:8" x14ac:dyDescent="0.2">
      <c r="A80" s="3" t="str">
        <f>'Raw Data'!A80</f>
        <v>2019-07-01</v>
      </c>
      <c r="B80" s="4">
        <f>'Raw Data'!B80</f>
        <v>2754072774.5</v>
      </c>
      <c r="C80" s="4">
        <f>'Raw Data'!C80</f>
        <v>1522417310.5999999</v>
      </c>
      <c r="D80" s="4">
        <f>'Raw Data'!D80</f>
        <v>210180365.5</v>
      </c>
      <c r="E80" s="4">
        <f>'Raw Data'!E80</f>
        <v>904868147.39999998</v>
      </c>
      <c r="F80" s="4">
        <f>'Raw Data'!F80</f>
        <v>574861098.5</v>
      </c>
      <c r="G80" s="4">
        <f>'Raw Data'!G80</f>
        <v>511006859.80000001</v>
      </c>
      <c r="H80" s="4">
        <f>'Raw Data'!H80</f>
        <v>273652123.5</v>
      </c>
    </row>
    <row r="81" spans="1:8" x14ac:dyDescent="0.2">
      <c r="A81" s="3" t="str">
        <f>'Raw Data'!A81</f>
        <v>2019-10-01</v>
      </c>
      <c r="B81" s="4">
        <f>'Raw Data'!B81</f>
        <v>2783090604.1999998</v>
      </c>
      <c r="C81" s="4">
        <f>'Raw Data'!C81</f>
        <v>1540086494.9000001</v>
      </c>
      <c r="D81" s="4">
        <f>'Raw Data'!D81</f>
        <v>212419905.90000001</v>
      </c>
      <c r="E81" s="4">
        <f>'Raw Data'!E81</f>
        <v>906444494.39999998</v>
      </c>
      <c r="F81" s="4">
        <f>'Raw Data'!F81</f>
        <v>569734586.39999998</v>
      </c>
      <c r="G81" s="4">
        <f>'Raw Data'!G81</f>
        <v>498594141.80000001</v>
      </c>
      <c r="H81" s="4">
        <f>'Raw Data'!H81</f>
        <v>274233494.75</v>
      </c>
    </row>
    <row r="82" spans="1:8" x14ac:dyDescent="0.2">
      <c r="A82" s="3" t="str">
        <f>'Raw Data'!A82</f>
        <v>2020-01-01</v>
      </c>
      <c r="B82" s="4">
        <f>'Raw Data'!B82</f>
        <v>2765766066.5999999</v>
      </c>
      <c r="C82" s="4">
        <f>'Raw Data'!C82</f>
        <v>1536879701.9000001</v>
      </c>
      <c r="D82" s="4">
        <f>'Raw Data'!D82</f>
        <v>218819474.19999999</v>
      </c>
      <c r="E82" s="4">
        <f>'Raw Data'!E82</f>
        <v>899363485.79999995</v>
      </c>
      <c r="F82" s="4">
        <f>'Raw Data'!F82</f>
        <v>563983637</v>
      </c>
      <c r="G82" s="4">
        <f>'Raw Data'!G82</f>
        <v>470374802.5</v>
      </c>
      <c r="H82" s="4">
        <f>'Raw Data'!H82</f>
        <v>274814866</v>
      </c>
    </row>
    <row r="83" spans="1:8" x14ac:dyDescent="0.2">
      <c r="A83" s="3" t="str">
        <f>'Raw Data'!A83</f>
        <v>2020-04-01</v>
      </c>
      <c r="B83" s="4">
        <f>'Raw Data'!B83</f>
        <v>2577176022.6999998</v>
      </c>
      <c r="C83" s="4">
        <f>'Raw Data'!C83</f>
        <v>1435567711.4000001</v>
      </c>
      <c r="D83" s="4">
        <f>'Raw Data'!D83</f>
        <v>207533172.90000001</v>
      </c>
      <c r="E83" s="4">
        <f>'Raw Data'!E83</f>
        <v>818814924.29999995</v>
      </c>
      <c r="F83" s="4">
        <f>'Raw Data'!F83</f>
        <v>476973495.30000001</v>
      </c>
      <c r="G83" s="4">
        <f>'Raw Data'!G83</f>
        <v>386599744.89999998</v>
      </c>
      <c r="H83" s="4">
        <f>'Raw Data'!H83</f>
        <v>275300662.75</v>
      </c>
    </row>
    <row r="84" spans="1:8" x14ac:dyDescent="0.2">
      <c r="A84" s="3" t="str">
        <f>'Raw Data'!A84</f>
        <v>2020-07-01</v>
      </c>
      <c r="B84" s="4">
        <f>'Raw Data'!B84</f>
        <v>2660518545.4000001</v>
      </c>
      <c r="C84" s="4">
        <f>'Raw Data'!C84</f>
        <v>1462018427.0999999</v>
      </c>
      <c r="D84" s="4">
        <f>'Raw Data'!D84</f>
        <v>230166184.69999999</v>
      </c>
      <c r="E84" s="4">
        <f>'Raw Data'!E84</f>
        <v>842984678</v>
      </c>
      <c r="F84" s="4">
        <f>'Raw Data'!F84</f>
        <v>508188282.69999999</v>
      </c>
      <c r="G84" s="4">
        <f>'Raw Data'!G84</f>
        <v>401577946</v>
      </c>
      <c r="H84" s="4">
        <f>'Raw Data'!H84</f>
        <v>275786459.5</v>
      </c>
    </row>
    <row r="85" spans="1:8" x14ac:dyDescent="0.2">
      <c r="A85" s="3" t="str">
        <f>'Raw Data'!A85</f>
        <v>2020-10-01</v>
      </c>
      <c r="B85" s="4">
        <f>'Raw Data'!B85</f>
        <v>2719538665.3000002</v>
      </c>
      <c r="C85" s="4">
        <f>'Raw Data'!C85</f>
        <v>1476064068.8</v>
      </c>
      <c r="D85" s="4">
        <f>'Raw Data'!D85</f>
        <v>217626738.30000001</v>
      </c>
      <c r="E85" s="4">
        <f>'Raw Data'!E85</f>
        <v>858018518.89999998</v>
      </c>
      <c r="F85" s="4">
        <f>'Raw Data'!F85</f>
        <v>534796433.30000001</v>
      </c>
      <c r="G85" s="4">
        <f>'Raw Data'!G85</f>
        <v>427451296.60000002</v>
      </c>
      <c r="H85" s="4">
        <f>'Raw Data'!H85</f>
        <v>276272256.25</v>
      </c>
    </row>
    <row r="86" spans="1:8" x14ac:dyDescent="0.2">
      <c r="A86" s="3" t="str">
        <f>'Raw Data'!A86</f>
        <v>2021-01-01</v>
      </c>
      <c r="B86" s="4">
        <f>'Raw Data'!B86</f>
        <v>2747386950.5</v>
      </c>
      <c r="C86" s="4">
        <f>'Raw Data'!C86</f>
        <v>1492362813.2</v>
      </c>
      <c r="D86" s="4">
        <f>'Raw Data'!D86</f>
        <v>224320831.40000001</v>
      </c>
      <c r="E86" s="4">
        <f>'Raw Data'!E86</f>
        <v>875398875.70000005</v>
      </c>
      <c r="F86" s="4">
        <f>'Raw Data'!F86</f>
        <v>577415356.29999995</v>
      </c>
      <c r="G86" s="4">
        <f>'Raw Data'!G86</f>
        <v>485433658.5</v>
      </c>
      <c r="H86" s="4">
        <f>'Raw Data'!H86</f>
        <v>276758053</v>
      </c>
    </row>
    <row r="87" spans="1:8" x14ac:dyDescent="0.2">
      <c r="A87" s="3" t="str">
        <f>'Raw Data'!A87</f>
        <v>2021-04-01</v>
      </c>
      <c r="B87" s="4">
        <f>'Raw Data'!B87</f>
        <v>2761746203.8000002</v>
      </c>
      <c r="C87" s="4">
        <f>'Raw Data'!C87</f>
        <v>1506413253.8</v>
      </c>
      <c r="D87" s="4">
        <f>'Raw Data'!D87</f>
        <v>224916177.19999999</v>
      </c>
      <c r="E87" s="4">
        <f>'Raw Data'!E87</f>
        <v>883933583.10000002</v>
      </c>
      <c r="F87" s="4">
        <f>'Raw Data'!F87</f>
        <v>602420487.10000002</v>
      </c>
      <c r="G87" s="4">
        <f>'Raw Data'!G87</f>
        <v>513588036.39999998</v>
      </c>
      <c r="H87" s="4">
        <f>'Raw Data'!H87</f>
        <v>277276172</v>
      </c>
    </row>
    <row r="88" spans="1:8" x14ac:dyDescent="0.2">
      <c r="A88" s="3" t="str">
        <f>'Raw Data'!A88</f>
        <v>2021-07-01</v>
      </c>
      <c r="B88" s="4">
        <f>'Raw Data'!B88</f>
        <v>2768068745.0999999</v>
      </c>
      <c r="C88" s="4">
        <f>'Raw Data'!C88</f>
        <v>1493942825.4000001</v>
      </c>
      <c r="D88" s="4">
        <f>'Raw Data'!D88</f>
        <v>232336474.80000001</v>
      </c>
      <c r="E88" s="4">
        <f>'Raw Data'!E88</f>
        <v>888628685.10000002</v>
      </c>
      <c r="F88" s="4">
        <f>'Raw Data'!F88</f>
        <v>621759323.70000005</v>
      </c>
      <c r="G88" s="4">
        <f>'Raw Data'!G88</f>
        <v>527381984.39999998</v>
      </c>
      <c r="H88" s="4">
        <f>'Raw Data'!H88</f>
        <v>277794291</v>
      </c>
    </row>
    <row r="89" spans="1:8" x14ac:dyDescent="0.2">
      <c r="A89" s="3" t="str">
        <f>'Raw Data'!A89</f>
        <v>2021-10-01</v>
      </c>
      <c r="B89" s="4">
        <f>'Raw Data'!B89</f>
        <v>2842857800.5</v>
      </c>
      <c r="C89" s="4">
        <f>'Raw Data'!C89</f>
        <v>1536354879.7</v>
      </c>
      <c r="D89" s="4">
        <f>'Raw Data'!D89</f>
        <v>229746223.40000001</v>
      </c>
      <c r="E89" s="4">
        <f>'Raw Data'!E89</f>
        <v>901257658.10000002</v>
      </c>
      <c r="F89" s="4">
        <f>'Raw Data'!F89</f>
        <v>657253888.20000005</v>
      </c>
      <c r="G89" s="4">
        <f>'Raw Data'!G89</f>
        <v>578713383.10000002</v>
      </c>
      <c r="H89" s="4">
        <f>'Raw Data'!H89</f>
        <v>278312410</v>
      </c>
    </row>
    <row r="90" spans="1:8" x14ac:dyDescent="0.2">
      <c r="A90" s="3" t="str">
        <f>'Raw Data'!A90</f>
        <v>2022-01-01</v>
      </c>
      <c r="B90" s="4">
        <f>'Raw Data'!B90</f>
        <v>2876278883.0999999</v>
      </c>
      <c r="C90" s="4">
        <f>'Raw Data'!C90</f>
        <v>1554539055.8</v>
      </c>
      <c r="D90" s="4">
        <f>'Raw Data'!D90</f>
        <v>209041279.69999999</v>
      </c>
      <c r="E90" s="4">
        <f>'Raw Data'!E90</f>
        <v>912110685.20000005</v>
      </c>
      <c r="F90" s="4">
        <f>'Raw Data'!F90</f>
        <v>672458405</v>
      </c>
      <c r="G90" s="4">
        <f>'Raw Data'!G90</f>
        <v>581732286.10000002</v>
      </c>
      <c r="H90" s="4">
        <f>'Raw Data'!H90</f>
        <v>278830529</v>
      </c>
    </row>
    <row r="91" spans="1:8" x14ac:dyDescent="0.2">
      <c r="A91" s="3" t="str">
        <f>'Raw Data'!A91</f>
        <v>2022-04-01</v>
      </c>
      <c r="B91" s="4">
        <f>'Raw Data'!B91</f>
        <v>2909986201.9000001</v>
      </c>
      <c r="C91" s="4">
        <f>'Raw Data'!C91</f>
        <v>1574244208.5</v>
      </c>
      <c r="D91" s="4">
        <f>'Raw Data'!D91</f>
        <v>214170722.40000001</v>
      </c>
      <c r="E91" s="4">
        <f>'Raw Data'!E91</f>
        <v>917273319.70000005</v>
      </c>
      <c r="F91" s="4">
        <f>'Raw Data'!F91</f>
        <v>715706549.70000005</v>
      </c>
      <c r="G91" s="4">
        <f>'Raw Data'!G91</f>
        <v>601628382.29999995</v>
      </c>
      <c r="H91" s="4">
        <f>'Raw Data'!H91</f>
        <v>279420413.5</v>
      </c>
    </row>
    <row r="92" spans="1:8" x14ac:dyDescent="0.2">
      <c r="A92" s="3" t="str">
        <f>'Raw Data'!A92</f>
        <v>2022-07-01</v>
      </c>
      <c r="B92" s="4">
        <f>'Raw Data'!B92</f>
        <v>2943232687.6999998</v>
      </c>
      <c r="C92" s="4">
        <f>'Raw Data'!C92</f>
        <v>1587239439.8</v>
      </c>
      <c r="D92" s="4">
        <f>'Raw Data'!D92</f>
        <v>227776863.09999999</v>
      </c>
      <c r="E92" s="4">
        <f>'Raw Data'!E92</f>
        <v>924853780</v>
      </c>
      <c r="F92" s="4">
        <f>'Raw Data'!F92</f>
        <v>737351100.70000005</v>
      </c>
      <c r="G92" s="4">
        <f>'Raw Data'!G92</f>
        <v>633134514.20000005</v>
      </c>
      <c r="H92" s="4">
        <f>'Raw Data'!H92</f>
        <v>280010298</v>
      </c>
    </row>
    <row r="93" spans="1:8" x14ac:dyDescent="0.2">
      <c r="A93" s="3" t="str">
        <f>'Raw Data'!A93</f>
        <v>2022-10-01</v>
      </c>
      <c r="B93" s="4">
        <f>'Raw Data'!B93</f>
        <v>2980725427.1999998</v>
      </c>
      <c r="C93" s="4">
        <f>'Raw Data'!C93</f>
        <v>1611824823.5</v>
      </c>
      <c r="D93" s="4">
        <f>'Raw Data'!D93</f>
        <v>220037516.90000001</v>
      </c>
      <c r="E93" s="4">
        <f>'Raw Data'!E93</f>
        <v>932335965</v>
      </c>
      <c r="F93" s="4">
        <f>'Raw Data'!F93</f>
        <v>732441951.29999995</v>
      </c>
      <c r="G93" s="4">
        <f>'Raw Data'!G93</f>
        <v>604298595.39999998</v>
      </c>
      <c r="H93" s="4">
        <f>'Raw Data'!H93</f>
        <v>280600182.5</v>
      </c>
    </row>
    <row r="94" spans="1:8" x14ac:dyDescent="0.2">
      <c r="A94" s="3" t="str">
        <f>'Raw Data'!A94</f>
        <v>2023-01-01</v>
      </c>
      <c r="B94" s="4">
        <f>'Raw Data'!B94</f>
        <v>3016871929.9000001</v>
      </c>
      <c r="C94" s="4">
        <f>'Raw Data'!C94</f>
        <v>1627430851.4000001</v>
      </c>
      <c r="D94" s="4">
        <f>'Raw Data'!D94</f>
        <v>214342906.80000001</v>
      </c>
      <c r="E94" s="4">
        <f>'Raw Data'!E94</f>
        <v>939769492.39999998</v>
      </c>
      <c r="F94" s="4">
        <f>'Raw Data'!F94</f>
        <v>737293363.10000002</v>
      </c>
      <c r="G94" s="4">
        <f>'Raw Data'!G94</f>
        <v>605533169.39999998</v>
      </c>
      <c r="H94" s="4">
        <f>'Raw Data'!H94</f>
        <v>281190067</v>
      </c>
    </row>
    <row r="95" spans="1:8" x14ac:dyDescent="0.2">
      <c r="A95" s="3" t="str">
        <f>'Raw Data'!A95</f>
        <v>2023-04-01</v>
      </c>
      <c r="B95" s="4">
        <f>'Raw Data'!B95</f>
        <v>3056593500.6999998</v>
      </c>
      <c r="C95" s="4">
        <f>'Raw Data'!C95</f>
        <v>1651349309.8</v>
      </c>
      <c r="D95" s="4">
        <f>'Raw Data'!D95</f>
        <v>235848610.90000001</v>
      </c>
      <c r="E95" s="4">
        <f>'Raw Data'!E95</f>
        <v>951022434.60000002</v>
      </c>
      <c r="F95" s="4">
        <f>'Raw Data'!F95</f>
        <v>713228247.70000005</v>
      </c>
      <c r="G95" s="4">
        <f>'Raw Data'!G95</f>
        <v>592091127.20000005</v>
      </c>
      <c r="H95" s="4">
        <f>'Raw Data'!H95</f>
        <v>281764533</v>
      </c>
    </row>
    <row r="96" spans="1:8" x14ac:dyDescent="0.2">
      <c r="A96" s="3" t="str">
        <f>'Raw Data'!A96</f>
        <v>2023-07-01</v>
      </c>
      <c r="B96" s="4">
        <f>'Raw Data'!B96</f>
        <v>3094933476.5</v>
      </c>
      <c r="C96" s="4">
        <f>'Raw Data'!C96</f>
        <v>1670848168.8</v>
      </c>
      <c r="D96" s="4">
        <f>'Raw Data'!D96</f>
        <v>220427719.30000001</v>
      </c>
      <c r="E96" s="4">
        <f>'Raw Data'!E96</f>
        <v>961479782.79999995</v>
      </c>
      <c r="F96" s="4">
        <f>'Raw Data'!F96</f>
        <v>718552951.89999998</v>
      </c>
      <c r="G96" s="4">
        <f>'Raw Data'!G96</f>
        <v>587528565.39999998</v>
      </c>
      <c r="H96" s="4">
        <f>'Raw Data'!H96</f>
        <v>282338999</v>
      </c>
    </row>
    <row r="97" spans="1:8" x14ac:dyDescent="0.2">
      <c r="A97" s="3" t="str">
        <f>'Raw Data'!A97</f>
        <v>2023-10-01</v>
      </c>
      <c r="B97" s="4">
        <f>'Raw Data'!B97</f>
        <v>3133053692.8000002</v>
      </c>
      <c r="C97" s="4">
        <f>'Raw Data'!C97</f>
        <v>1691014003.5999999</v>
      </c>
      <c r="D97" s="4">
        <f>'Raw Data'!D97</f>
        <v>226679799</v>
      </c>
      <c r="E97" s="4">
        <f>'Raw Data'!E97</f>
        <v>972950328.20000005</v>
      </c>
      <c r="F97" s="4">
        <f>'Raw Data'!F97</f>
        <v>738198348</v>
      </c>
      <c r="G97" s="4">
        <f>'Raw Data'!G97</f>
        <v>605529626.20000005</v>
      </c>
      <c r="H97" s="4">
        <f>'Raw Data'!H97</f>
        <v>282913465</v>
      </c>
    </row>
    <row r="98" spans="1:8" x14ac:dyDescent="0.2">
      <c r="A98" s="3" t="str">
        <f>'Raw Data'!A98</f>
        <v>2024-01-01</v>
      </c>
      <c r="B98" s="4">
        <f>'Raw Data'!B98</f>
        <v>3173046610</v>
      </c>
      <c r="C98" s="4">
        <f>'Raw Data'!C98</f>
        <v>1714324435.5999999</v>
      </c>
      <c r="D98" s="4">
        <f>'Raw Data'!D98</f>
        <v>253514415.40000001</v>
      </c>
      <c r="E98" s="4">
        <f>'Raw Data'!E98</f>
        <v>985059548.10000002</v>
      </c>
      <c r="F98" s="4">
        <f>'Raw Data'!F98</f>
        <v>749994584.89999998</v>
      </c>
      <c r="G98" s="4">
        <f>'Raw Data'!G98</f>
        <v>624297008.39999998</v>
      </c>
      <c r="H98" s="4">
        <f>'Raw Data'!H98</f>
        <v>283487931</v>
      </c>
    </row>
    <row r="99" spans="1:8" x14ac:dyDescent="0.2">
      <c r="A99" s="3" t="str">
        <f>'Raw Data'!A99</f>
        <v>2024-04-01</v>
      </c>
      <c r="B99" s="4">
        <f>'Raw Data'!B99</f>
        <v>3209381173.6999998</v>
      </c>
      <c r="C99" s="4">
        <f>'Raw Data'!C99</f>
        <v>1733324302.2</v>
      </c>
      <c r="D99" s="4">
        <f>'Raw Data'!D99</f>
        <v>238612827.69999999</v>
      </c>
      <c r="E99" s="4">
        <f>'Raw Data'!E99</f>
        <v>993599273.60000002</v>
      </c>
      <c r="F99" s="4">
        <f>'Raw Data'!F99</f>
        <v>766268749.89999998</v>
      </c>
      <c r="G99" s="4">
        <f>'Raw Data'!G99</f>
        <v>631018166.79999995</v>
      </c>
      <c r="H99" s="4">
        <f>'Raw Data'!H99</f>
        <v>283487931</v>
      </c>
    </row>
    <row r="100" spans="1:8" x14ac:dyDescent="0.2">
      <c r="A100" s="3" t="str">
        <f>'Raw Data'!A100</f>
        <v>2024-07-01</v>
      </c>
      <c r="B100" s="4">
        <f>'Raw Data'!B100</f>
        <v>3249343102.0999999</v>
      </c>
      <c r="C100" s="4">
        <f>'Raw Data'!C100</f>
        <v>1755769349</v>
      </c>
      <c r="D100" s="4">
        <f>'Raw Data'!D100</f>
        <v>229649211.19999999</v>
      </c>
      <c r="E100" s="4">
        <f>'Raw Data'!E100</f>
        <v>1006306756.5</v>
      </c>
      <c r="F100" s="4">
        <f>'Raw Data'!F100</f>
        <v>783831109</v>
      </c>
      <c r="G100" s="4">
        <f>'Raw Data'!G100</f>
        <v>662976556.79999995</v>
      </c>
      <c r="H100" s="4">
        <f>'Raw Data'!H100</f>
        <v>283487931</v>
      </c>
    </row>
    <row r="101" spans="1:8" x14ac:dyDescent="0.2">
      <c r="A101" s="3" t="str">
        <f>'Raw Data'!A101</f>
        <v>2024-10-01</v>
      </c>
      <c r="B101" s="4">
        <f>'Raw Data'!B101</f>
        <v>3288761514.1999998</v>
      </c>
      <c r="C101" s="4">
        <f>'Raw Data'!C101</f>
        <v>1776618167.8</v>
      </c>
      <c r="D101" s="4">
        <f>'Raw Data'!D101</f>
        <v>234846857.40000001</v>
      </c>
      <c r="E101" s="4">
        <f>'Raw Data'!E101</f>
        <v>1016727722</v>
      </c>
      <c r="F101" s="4">
        <f>'Raw Data'!F101</f>
        <v>806379638.5</v>
      </c>
      <c r="G101" s="4">
        <f>'Raw Data'!G101</f>
        <v>667179957.70000005</v>
      </c>
      <c r="H101" s="4">
        <f>'Raw Data'!H101</f>
        <v>283487931</v>
      </c>
    </row>
    <row r="102" spans="1:8" x14ac:dyDescent="0.2">
      <c r="A102" s="3" t="str">
        <f>'Raw Data'!A102</f>
        <v>2025-01-01</v>
      </c>
      <c r="B102" s="4">
        <f>'Raw Data'!B102</f>
        <v>3328465246.3000002</v>
      </c>
      <c r="C102" s="4">
        <f>'Raw Data'!C102</f>
        <v>1796670117.4000001</v>
      </c>
      <c r="D102" s="4">
        <f>'Raw Data'!D102</f>
        <v>247722102.5</v>
      </c>
      <c r="E102" s="4">
        <f>'Raw Data'!E102</f>
        <v>1027145318.1</v>
      </c>
      <c r="F102" s="4">
        <f>'Raw Data'!F102</f>
        <v>813497212.79999995</v>
      </c>
      <c r="G102" s="4">
        <f>'Raw Data'!G102</f>
        <v>657502341.39999998</v>
      </c>
      <c r="H102" s="4">
        <f>'Raw Data'!H102</f>
        <v>283487931</v>
      </c>
    </row>
    <row r="103" spans="1:8" x14ac:dyDescent="0.2">
      <c r="A103" s="3" t="str">
        <f>'Raw Data'!A103</f>
        <v>2025-04-01</v>
      </c>
      <c r="B103" s="4">
        <f>'Raw Data'!B103</f>
        <v>3372887814.5</v>
      </c>
      <c r="C103" s="4">
        <f>'Raw Data'!C103</f>
        <v>1821214020.0999999</v>
      </c>
      <c r="D103" s="4">
        <f>'Raw Data'!D103</f>
        <v>0</v>
      </c>
      <c r="E103" s="4">
        <f>'Raw Data'!E103</f>
        <v>1044457519.2</v>
      </c>
      <c r="F103" s="4">
        <f>'Raw Data'!F103</f>
        <v>832264484.89999998</v>
      </c>
      <c r="G103" s="4">
        <f>'Raw Data'!G103</f>
        <v>685557382.29999995</v>
      </c>
      <c r="H103" s="4">
        <f>'Raw Data'!H103</f>
        <v>283487931</v>
      </c>
    </row>
    <row r="104" spans="1:8" x14ac:dyDescent="0.2">
      <c r="A104" s="3" t="str">
        <f>'Raw Data'!A104</f>
        <v>2025-07-01</v>
      </c>
      <c r="B104" s="4">
        <f>'Raw Data'!B104</f>
        <v>3416222982.5999999</v>
      </c>
      <c r="C104" s="4">
        <f>'Raw Data'!C104</f>
        <v>1843005423.3</v>
      </c>
      <c r="D104" s="4">
        <f>'Raw Data'!D104</f>
        <v>0</v>
      </c>
      <c r="E104" s="4">
        <f>'Raw Data'!E104</f>
        <v>1059563833.1</v>
      </c>
      <c r="F104" s="4">
        <f>'Raw Data'!F104</f>
        <v>843109160.89999998</v>
      </c>
      <c r="G104" s="4">
        <f>'Raw Data'!G104</f>
        <v>675095197.5</v>
      </c>
      <c r="H104" s="4">
        <f>'Raw Data'!H104</f>
        <v>283487931</v>
      </c>
    </row>
    <row r="105" spans="1:8" x14ac:dyDescent="0.2">
      <c r="A105" s="3" t="str">
        <f>'Raw Data'!A105</f>
        <v>2025-10-01</v>
      </c>
      <c r="B105" s="4">
        <f>'Raw Data'!B105</f>
        <v>3462948656.5999999</v>
      </c>
      <c r="C105" s="4">
        <f>'Raw Data'!C105</f>
        <v>1866936965.5999999</v>
      </c>
      <c r="D105" s="4">
        <f>'Raw Data'!D105</f>
        <v>0</v>
      </c>
      <c r="E105" s="4">
        <f>'Raw Data'!E105</f>
        <v>1074229924</v>
      </c>
      <c r="F105" s="4">
        <f>'Raw Data'!F105</f>
        <v>836124373.20000005</v>
      </c>
      <c r="G105" s="4">
        <f>'Raw Data'!G105</f>
        <v>690619601.79999995</v>
      </c>
      <c r="H105" s="4">
        <f>'Raw Data'!H105</f>
        <v>283487931</v>
      </c>
    </row>
    <row r="106" spans="1:8" x14ac:dyDescent="0.2">
      <c r="A106" s="3" t="str">
        <f>'Raw Data'!A106</f>
        <v>2026-01-01</v>
      </c>
      <c r="B106" s="4">
        <f>'Raw Data'!B106</f>
        <v>3510282996.1999998</v>
      </c>
      <c r="C106" s="4">
        <f>'Raw Data'!C106</f>
        <v>1891317337.3</v>
      </c>
      <c r="D106" s="4">
        <f>'Raw Data'!D106</f>
        <v>0</v>
      </c>
      <c r="E106" s="4">
        <f>'Raw Data'!E106</f>
        <v>1089381387.3</v>
      </c>
      <c r="F106" s="4">
        <f>'Raw Data'!F106</f>
        <v>824652254</v>
      </c>
      <c r="G106" s="4">
        <f>'Raw Data'!G106</f>
        <v>691650406.89999998</v>
      </c>
      <c r="H106" s="4">
        <f>'Raw Data'!H106</f>
        <v>283487931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zoomScaleNormal="100" workbookViewId="0">
      <selection activeCell="H35" sqref="H35"/>
    </sheetView>
  </sheetViews>
  <sheetFormatPr baseColWidth="10" defaultColWidth="8.6640625" defaultRowHeight="15" customHeight="1" x14ac:dyDescent="0.2"/>
  <cols>
    <col min="1" max="1" width="10.5" bestFit="1" customWidth="1"/>
    <col min="2" max="2" width="9.1640625" bestFit="1" customWidth="1"/>
    <col min="3" max="3" width="24" bestFit="1" customWidth="1"/>
    <col min="4" max="4" width="28.6640625" bestFit="1" customWidth="1"/>
    <col min="5" max="5" width="15.33203125" bestFit="1" customWidth="1"/>
    <col min="6" max="6" width="12" bestFit="1" customWidth="1"/>
    <col min="7" max="7" width="12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6" spans="1:7" x14ac:dyDescent="0.2">
      <c r="A6" s="3" t="str">
        <f>'Clean Data'!A6</f>
        <v>2001-01-01</v>
      </c>
      <c r="B6" s="5">
        <f>('Clean Data'!B6/'Clean Data'!B2)-1</f>
        <v>4.0295838991906585E-2</v>
      </c>
      <c r="C6" s="5">
        <f>('Clean Data'!C6/'Clean Data'!C2)-1</f>
        <v>3.4669444499253022E-2</v>
      </c>
      <c r="D6" s="5">
        <f>('Clean Data'!D6/'Clean Data'!D2)-1</f>
        <v>6.0401760206493238E-2</v>
      </c>
      <c r="E6" s="5">
        <f>('Clean Data'!E6/'Clean Data'!E2)-1</f>
        <v>0.18748148877834403</v>
      </c>
      <c r="F6" s="5">
        <f>('Clean Data'!F6/'Clean Data'!F2)-1</f>
        <v>0.18976656631434574</v>
      </c>
      <c r="G6" s="5">
        <f>('Clean Data'!G6/'Clean Data'!G2)-1</f>
        <v>0.39269452041044217</v>
      </c>
    </row>
    <row r="7" spans="1:7" x14ac:dyDescent="0.2">
      <c r="A7" s="3" t="str">
        <f>'Clean Data'!A7</f>
        <v>2001-04-01</v>
      </c>
      <c r="B7" s="5">
        <f>('Clean Data'!B7/'Clean Data'!B3)-1</f>
        <v>5.7013994595130457E-2</v>
      </c>
      <c r="C7" s="5">
        <f>('Clean Data'!C7/'Clean Data'!C3)-1</f>
        <v>2.6216946596428592E-2</v>
      </c>
      <c r="D7" s="5">
        <f>('Clean Data'!D7/'Clean Data'!D3)-1</f>
        <v>6.6078671491255569E-2</v>
      </c>
      <c r="E7" s="5">
        <f>('Clean Data'!E7/'Clean Data'!E3)-1</f>
        <v>0.11133714784982951</v>
      </c>
      <c r="F7" s="5">
        <f>('Clean Data'!F7/'Clean Data'!F3)-1</f>
        <v>3.4581313621776077E-2</v>
      </c>
      <c r="G7" s="5">
        <f>('Clean Data'!G7/'Clean Data'!G3)-1</f>
        <v>0.31883132492297328</v>
      </c>
    </row>
    <row r="8" spans="1:7" x14ac:dyDescent="0.2">
      <c r="A8" s="3" t="str">
        <f>'Clean Data'!A8</f>
        <v>2001-07-01</v>
      </c>
      <c r="B8" s="5">
        <f>('Clean Data'!B8/'Clean Data'!B4)-1</f>
        <v>3.2087359441513197E-2</v>
      </c>
      <c r="C8" s="5">
        <f>('Clean Data'!C8/'Clean Data'!C4)-1</f>
        <v>3.9553607763673115E-2</v>
      </c>
      <c r="D8" s="5">
        <f>('Clean Data'!D8/'Clean Data'!D4)-1</f>
        <v>8.0631577010734423E-2</v>
      </c>
      <c r="E8" s="5">
        <f>('Clean Data'!E8/'Clean Data'!E4)-1</f>
        <v>-2.6615586738979458E-3</v>
      </c>
      <c r="F8" s="5">
        <f>('Clean Data'!F8/'Clean Data'!F4)-1</f>
        <v>-5.5587404319444977E-2</v>
      </c>
      <c r="G8" s="5">
        <f>('Clean Data'!G8/'Clean Data'!G4)-1</f>
        <v>-5.557482238439948E-2</v>
      </c>
    </row>
    <row r="9" spans="1:7" x14ac:dyDescent="0.2">
      <c r="A9" s="3" t="str">
        <f>'Clean Data'!A9</f>
        <v>2001-10-01</v>
      </c>
      <c r="B9" s="5">
        <f>('Clean Data'!B9/'Clean Data'!B5)-1</f>
        <v>1.7446987986184048E-2</v>
      </c>
      <c r="C9" s="5">
        <f>('Clean Data'!C9/'Clean Data'!C5)-1</f>
        <v>3.9296500979921101E-2</v>
      </c>
      <c r="D9" s="5">
        <f>('Clean Data'!D9/'Clean Data'!D5)-1</f>
        <v>9.4734686576337213E-2</v>
      </c>
      <c r="E9" s="5">
        <f>('Clean Data'!E9/'Clean Data'!E5)-1</f>
        <v>-1.9928581230645337E-2</v>
      </c>
      <c r="F9" s="5">
        <f>('Clean Data'!F9/'Clean Data'!F5)-1</f>
        <v>-0.10900338715775082</v>
      </c>
      <c r="G9" s="5">
        <f>('Clean Data'!G9/'Clean Data'!G5)-1</f>
        <v>-0.28662598432860509</v>
      </c>
    </row>
    <row r="10" spans="1:7" x14ac:dyDescent="0.2">
      <c r="A10" s="3" t="str">
        <f>'Clean Data'!A10</f>
        <v>2002-01-01</v>
      </c>
      <c r="B10" s="5">
        <f>('Clean Data'!B10/'Clean Data'!B6)-1</f>
        <v>3.7242014289611713E-2</v>
      </c>
      <c r="C10" s="5">
        <f>('Clean Data'!C10/'Clean Data'!C6)-1</f>
        <v>4.1434506774595148E-2</v>
      </c>
      <c r="D10" s="5">
        <f>('Clean Data'!D10/'Clean Data'!D6)-1</f>
        <v>0.11325303915382268</v>
      </c>
      <c r="E10" s="5">
        <f>('Clean Data'!E10/'Clean Data'!E6)-1</f>
        <v>-2.5527684287595998E-2</v>
      </c>
      <c r="F10" s="5">
        <f>('Clean Data'!F10/'Clean Data'!F6)-1</f>
        <v>-5.1699482337806413E-2</v>
      </c>
      <c r="G10" s="5">
        <f>('Clean Data'!G10/'Clean Data'!G6)-1</f>
        <v>-0.14063269613407448</v>
      </c>
    </row>
    <row r="11" spans="1:7" x14ac:dyDescent="0.2">
      <c r="A11" s="3" t="str">
        <f>'Clean Data'!A11</f>
        <v>2002-04-01</v>
      </c>
      <c r="B11" s="5">
        <f>('Clean Data'!B11/'Clean Data'!B7)-1</f>
        <v>3.9937553989612073E-2</v>
      </c>
      <c r="C11" s="5">
        <f>('Clean Data'!C11/'Clean Data'!C7)-1</f>
        <v>4.0137318105911257E-2</v>
      </c>
      <c r="D11" s="5">
        <f>('Clean Data'!D11/'Clean Data'!D7)-1</f>
        <v>0.12615670630054421</v>
      </c>
      <c r="E11" s="5">
        <f>('Clean Data'!E11/'Clean Data'!E7)-1</f>
        <v>-1.317105100110183E-2</v>
      </c>
      <c r="F11" s="5">
        <f>('Clean Data'!F11/'Clean Data'!F7)-1</f>
        <v>-6.0057532121483237E-2</v>
      </c>
      <c r="G11" s="5">
        <f>('Clean Data'!G11/'Clean Data'!G7)-1</f>
        <v>-0.15646226067244606</v>
      </c>
    </row>
    <row r="12" spans="1:7" x14ac:dyDescent="0.2">
      <c r="A12" s="3" t="str">
        <f>'Clean Data'!A12</f>
        <v>2002-07-01</v>
      </c>
      <c r="B12" s="5">
        <f>('Clean Data'!B12/'Clean Data'!B8)-1</f>
        <v>5.3067085337121123E-2</v>
      </c>
      <c r="C12" s="5">
        <f>('Clean Data'!C12/'Clean Data'!C8)-1</f>
        <v>3.6103015527265692E-2</v>
      </c>
      <c r="D12" s="5">
        <f>('Clean Data'!D12/'Clean Data'!D8)-1</f>
        <v>0.14260395535194781</v>
      </c>
      <c r="E12" s="5">
        <f>('Clean Data'!E12/'Clean Data'!E8)-1</f>
        <v>0.10935501620828902</v>
      </c>
      <c r="F12" s="5">
        <f>('Clean Data'!F12/'Clean Data'!F8)-1</f>
        <v>2.3695438186194684E-2</v>
      </c>
      <c r="G12" s="5">
        <f>('Clean Data'!G12/'Clean Data'!G8)-1</f>
        <v>2.9877733888817204E-2</v>
      </c>
    </row>
    <row r="13" spans="1:7" x14ac:dyDescent="0.2">
      <c r="A13" s="3" t="str">
        <f>'Clean Data'!A13</f>
        <v>2002-10-01</v>
      </c>
      <c r="B13" s="5">
        <f>('Clean Data'!B13/'Clean Data'!B9)-1</f>
        <v>4.9586194424946717E-2</v>
      </c>
      <c r="C13" s="5">
        <f>('Clean Data'!C13/'Clean Data'!C9)-1</f>
        <v>3.5864427916517672E-2</v>
      </c>
      <c r="D13" s="5">
        <f>('Clean Data'!D13/'Clean Data'!D9)-1</f>
        <v>0.13678380482087071</v>
      </c>
      <c r="E13" s="5">
        <f>('Clean Data'!E13/'Clean Data'!E9)-1</f>
        <v>0.12615085703214146</v>
      </c>
      <c r="F13" s="5">
        <f>('Clean Data'!F13/'Clean Data'!F9)-1</f>
        <v>4.6174102909951609E-2</v>
      </c>
      <c r="G13" s="5">
        <f>('Clean Data'!G13/'Clean Data'!G9)-1</f>
        <v>0.14259567832869013</v>
      </c>
    </row>
    <row r="14" spans="1:7" x14ac:dyDescent="0.2">
      <c r="A14" s="3" t="str">
        <f>'Clean Data'!A14</f>
        <v>2003-01-01</v>
      </c>
      <c r="B14" s="5">
        <f>('Clean Data'!B14/'Clean Data'!B10)-1</f>
        <v>5.0478119240077834E-2</v>
      </c>
      <c r="C14" s="5">
        <f>('Clean Data'!C14/'Clean Data'!C10)-1</f>
        <v>3.3875702481298342E-2</v>
      </c>
      <c r="D14" s="5">
        <f>('Clean Data'!D14/'Clean Data'!D10)-1</f>
        <v>0.10532965616470036</v>
      </c>
      <c r="E14" s="5">
        <f>('Clean Data'!E14/'Clean Data'!E10)-1</f>
        <v>1.7759703623239309E-2</v>
      </c>
      <c r="F14" s="5">
        <f>('Clean Data'!F14/'Clean Data'!F10)-1</f>
        <v>6.5694459662314131E-2</v>
      </c>
      <c r="G14" s="5">
        <f>('Clean Data'!G14/'Clean Data'!G10)-1</f>
        <v>4.9699027791845207E-2</v>
      </c>
    </row>
    <row r="15" spans="1:7" x14ac:dyDescent="0.2">
      <c r="A15" s="3" t="str">
        <f>'Clean Data'!A15</f>
        <v>2003-04-01</v>
      </c>
      <c r="B15" s="5">
        <f>('Clean Data'!B15/'Clean Data'!B11)-1</f>
        <v>4.8906172615467591E-2</v>
      </c>
      <c r="C15" s="5">
        <f>('Clean Data'!C15/'Clean Data'!C11)-1</f>
        <v>3.4931794653251247E-2</v>
      </c>
      <c r="D15" s="5">
        <f>('Clean Data'!D15/'Clean Data'!D11)-1</f>
        <v>0.10667431356450252</v>
      </c>
      <c r="E15" s="5">
        <f>('Clean Data'!E15/'Clean Data'!E11)-1</f>
        <v>4.0981131852197983E-3</v>
      </c>
      <c r="F15" s="5">
        <f>('Clean Data'!F15/'Clean Data'!F11)-1</f>
        <v>9.7305614577686939E-2</v>
      </c>
      <c r="G15" s="5">
        <f>('Clean Data'!G15/'Clean Data'!G11)-1</f>
        <v>-1.950189682816128E-3</v>
      </c>
    </row>
    <row r="16" spans="1:7" x14ac:dyDescent="0.2">
      <c r="A16" s="3" t="str">
        <f>'Clean Data'!A16</f>
        <v>2003-07-01</v>
      </c>
      <c r="B16" s="5">
        <f>('Clean Data'!B16/'Clean Data'!B12)-1</f>
        <v>4.6462728111484441E-2</v>
      </c>
      <c r="C16" s="5">
        <f>('Clean Data'!C16/'Clean Data'!C12)-1</f>
        <v>3.8240597564303869E-2</v>
      </c>
      <c r="D16" s="5">
        <f>('Clean Data'!D16/'Clean Data'!D12)-1</f>
        <v>9.8020910432627284E-2</v>
      </c>
      <c r="E16" s="5">
        <f>('Clean Data'!E16/'Clean Data'!E12)-1</f>
        <v>2.7797036967964761E-3</v>
      </c>
      <c r="F16" s="5">
        <f>('Clean Data'!F16/'Clean Data'!F12)-1</f>
        <v>2.4882716759068835E-2</v>
      </c>
      <c r="G16" s="5">
        <f>('Clean Data'!G16/'Clean Data'!G12)-1</f>
        <v>1.4486345362623165E-3</v>
      </c>
    </row>
    <row r="17" spans="1:7" x14ac:dyDescent="0.2">
      <c r="A17" s="3" t="str">
        <f>'Clean Data'!A17</f>
        <v>2003-10-01</v>
      </c>
      <c r="B17" s="5">
        <f>('Clean Data'!B17/'Clean Data'!B13)-1</f>
        <v>4.5474302123986066E-2</v>
      </c>
      <c r="C17" s="5">
        <f>('Clean Data'!C17/'Clean Data'!C13)-1</f>
        <v>4.8473354797240908E-2</v>
      </c>
      <c r="D17" s="5">
        <f>('Clean Data'!D17/'Clean Data'!D13)-1</f>
        <v>9.2064546090359523E-2</v>
      </c>
      <c r="E17" s="5">
        <f>('Clean Data'!E17/'Clean Data'!E13)-1</f>
        <v>2.2263575529701818E-4</v>
      </c>
      <c r="F17" s="5">
        <f>('Clean Data'!F17/'Clean Data'!F13)-1</f>
        <v>4.8631603729613504E-2</v>
      </c>
      <c r="G17" s="5">
        <f>('Clean Data'!G17/'Clean Data'!G13)-1</f>
        <v>1.4373212665726331E-2</v>
      </c>
    </row>
    <row r="18" spans="1:7" x14ac:dyDescent="0.2">
      <c r="A18" s="3" t="str">
        <f>'Clean Data'!A18</f>
        <v>2004-01-01</v>
      </c>
      <c r="B18" s="5">
        <f>('Clean Data'!B18/'Clean Data'!B14)-1</f>
        <v>4.413139891194362E-2</v>
      </c>
      <c r="C18" s="5">
        <f>('Clean Data'!C18/'Clean Data'!C14)-1</f>
        <v>5.5909220199851672E-2</v>
      </c>
      <c r="D18" s="5">
        <f>('Clean Data'!D18/'Clean Data'!D14)-1</f>
        <v>0.10334360690703814</v>
      </c>
      <c r="E18" s="5">
        <f>('Clean Data'!E18/'Clean Data'!E14)-1</f>
        <v>0.11407723459227892</v>
      </c>
      <c r="F18" s="5">
        <f>('Clean Data'!F18/'Clean Data'!F14)-1</f>
        <v>3.3186775184433248E-2</v>
      </c>
      <c r="G18" s="5">
        <f>('Clean Data'!G18/'Clean Data'!G14)-1</f>
        <v>0.17786818537917215</v>
      </c>
    </row>
    <row r="19" spans="1:7" x14ac:dyDescent="0.2">
      <c r="A19" s="3" t="str">
        <f>'Clean Data'!A19</f>
        <v>2004-04-01</v>
      </c>
      <c r="B19" s="5">
        <f>('Clean Data'!B19/'Clean Data'!B15)-1</f>
        <v>4.4771959585231613E-2</v>
      </c>
      <c r="C19" s="5">
        <f>('Clean Data'!C19/'Clean Data'!C15)-1</f>
        <v>5.2984837449526756E-2</v>
      </c>
      <c r="D19" s="5">
        <f>('Clean Data'!D19/'Clean Data'!D15)-1</f>
        <v>6.2352778249231022E-2</v>
      </c>
      <c r="E19" s="5">
        <f>('Clean Data'!E19/'Clean Data'!E15)-1</f>
        <v>0.12915334617828766</v>
      </c>
      <c r="F19" s="5">
        <f>('Clean Data'!F19/'Clean Data'!F15)-1</f>
        <v>5.7843968656698497E-2</v>
      </c>
      <c r="G19" s="5">
        <f>('Clean Data'!G19/'Clean Data'!G15)-1</f>
        <v>0.26347269106259197</v>
      </c>
    </row>
    <row r="20" spans="1:7" x14ac:dyDescent="0.2">
      <c r="A20" s="3" t="str">
        <f>'Clean Data'!A20</f>
        <v>2004-07-01</v>
      </c>
      <c r="B20" s="5">
        <f>('Clean Data'!B20/'Clean Data'!B16)-1</f>
        <v>4.652180367440506E-2</v>
      </c>
      <c r="C20" s="5">
        <f>('Clean Data'!C20/'Clean Data'!C16)-1</f>
        <v>4.9939079349489823E-2</v>
      </c>
      <c r="D20" s="5">
        <f>('Clean Data'!D20/'Clean Data'!D16)-1</f>
        <v>1.4854086227070296E-2</v>
      </c>
      <c r="E20" s="5">
        <f>('Clean Data'!E20/'Clean Data'!E16)-1</f>
        <v>0.17442576261706444</v>
      </c>
      <c r="F20" s="5">
        <f>('Clean Data'!F20/'Clean Data'!F16)-1</f>
        <v>0.2236551907532589</v>
      </c>
      <c r="G20" s="5">
        <f>('Clean Data'!G20/'Clean Data'!G16)-1</f>
        <v>0.31076720568268712</v>
      </c>
    </row>
    <row r="21" spans="1:7" x14ac:dyDescent="0.2">
      <c r="A21" s="3" t="str">
        <f>'Clean Data'!A21</f>
        <v>2004-10-01</v>
      </c>
      <c r="B21" s="5">
        <f>('Clean Data'!B21/'Clean Data'!B17)-1</f>
        <v>6.5470380238867865E-2</v>
      </c>
      <c r="C21" s="5">
        <f>('Clean Data'!C21/'Clean Data'!C17)-1</f>
        <v>4.0191645227280359E-2</v>
      </c>
      <c r="D21" s="5">
        <f>('Clean Data'!D21/'Clean Data'!D17)-1</f>
        <v>-1.5618914000775308E-2</v>
      </c>
      <c r="E21" s="5">
        <f>('Clean Data'!E21/'Clean Data'!E17)-1</f>
        <v>0.16701090675858365</v>
      </c>
      <c r="F21" s="5">
        <f>('Clean Data'!F21/'Clean Data'!F17)-1</f>
        <v>0.23004792130722307</v>
      </c>
      <c r="G21" s="5">
        <f>('Clean Data'!G21/'Clean Data'!G17)-1</f>
        <v>0.31132443108392138</v>
      </c>
    </row>
    <row r="22" spans="1:7" x14ac:dyDescent="0.2">
      <c r="A22" s="3" t="str">
        <f>'Clean Data'!A22</f>
        <v>2005-01-01</v>
      </c>
      <c r="B22" s="5">
        <f>('Clean Data'!B22/'Clean Data'!B18)-1</f>
        <v>6.1637428074149181E-2</v>
      </c>
      <c r="C22" s="5">
        <f>('Clean Data'!C22/'Clean Data'!C18)-1</f>
        <v>3.5222340581541722E-2</v>
      </c>
      <c r="D22" s="5">
        <f>('Clean Data'!D22/'Clean Data'!D18)-1</f>
        <v>-3.9182108146181172E-2</v>
      </c>
      <c r="E22" s="5">
        <f>('Clean Data'!E22/'Clean Data'!E18)-1</f>
        <v>0.15944822687411775</v>
      </c>
      <c r="F22" s="5">
        <f>('Clean Data'!F22/'Clean Data'!F18)-1</f>
        <v>0.22074187621356467</v>
      </c>
      <c r="G22" s="5">
        <f>('Clean Data'!G22/'Clean Data'!G18)-1</f>
        <v>0.22236233966696362</v>
      </c>
    </row>
    <row r="23" spans="1:7" x14ac:dyDescent="0.2">
      <c r="A23" s="3" t="str">
        <f>'Clean Data'!A23</f>
        <v>2005-04-01</v>
      </c>
      <c r="B23" s="5">
        <f>('Clean Data'!B23/'Clean Data'!B19)-1</f>
        <v>6.1105559443968449E-2</v>
      </c>
      <c r="C23" s="5">
        <f>('Clean Data'!C23/'Clean Data'!C19)-1</f>
        <v>3.8462606651190168E-2</v>
      </c>
      <c r="D23" s="5">
        <f>('Clean Data'!D23/'Clean Data'!D19)-1</f>
        <v>-4.5355111626099842E-2</v>
      </c>
      <c r="E23" s="5">
        <f>('Clean Data'!E23/'Clean Data'!E19)-1</f>
        <v>0.15843282036779516</v>
      </c>
      <c r="F23" s="5">
        <f>('Clean Data'!F23/'Clean Data'!F19)-1</f>
        <v>0.18155384842795752</v>
      </c>
      <c r="G23" s="5">
        <f>('Clean Data'!G23/'Clean Data'!G19)-1</f>
        <v>0.23604662939149557</v>
      </c>
    </row>
    <row r="24" spans="1:7" x14ac:dyDescent="0.2">
      <c r="A24" s="3" t="str">
        <f>'Clean Data'!A24</f>
        <v>2005-07-01</v>
      </c>
      <c r="B24" s="5">
        <f>('Clean Data'!B24/'Clean Data'!B20)-1</f>
        <v>5.9900712971250325E-2</v>
      </c>
      <c r="C24" s="5">
        <f>('Clean Data'!C24/'Clean Data'!C20)-1</f>
        <v>4.2930240903877426E-2</v>
      </c>
      <c r="D24" s="5">
        <f>('Clean Data'!D24/'Clean Data'!D20)-1</f>
        <v>0.16529374157075294</v>
      </c>
      <c r="E24" s="5">
        <f>('Clean Data'!E24/'Clean Data'!E20)-1</f>
        <v>0.10189441368345853</v>
      </c>
      <c r="F24" s="5">
        <f>('Clean Data'!F24/'Clean Data'!F20)-1</f>
        <v>0.12284857418554407</v>
      </c>
      <c r="G24" s="5">
        <f>('Clean Data'!G24/'Clean Data'!G20)-1</f>
        <v>0.17747257053376031</v>
      </c>
    </row>
    <row r="25" spans="1:7" x14ac:dyDescent="0.2">
      <c r="A25" s="3" t="str">
        <f>'Clean Data'!A25</f>
        <v>2005-10-01</v>
      </c>
      <c r="B25" s="5">
        <f>('Clean Data'!B25/'Clean Data'!B21)-1</f>
        <v>4.5541419588801757E-2</v>
      </c>
      <c r="C25" s="5">
        <f>('Clean Data'!C25/'Clean Data'!C21)-1</f>
        <v>4.1431867306488623E-2</v>
      </c>
      <c r="D25" s="5">
        <f>('Clean Data'!D25/'Clean Data'!D21)-1</f>
        <v>0.19067699562362717</v>
      </c>
      <c r="E25" s="5">
        <f>('Clean Data'!E25/'Clean Data'!E21)-1</f>
        <v>2.5809865287899303E-2</v>
      </c>
      <c r="F25" s="5">
        <f>('Clean Data'!F25/'Clean Data'!F21)-1</f>
        <v>0.14850269167149732</v>
      </c>
      <c r="G25" s="5">
        <f>('Clean Data'!G25/'Clean Data'!G21)-1</f>
        <v>8.8552804486335068E-2</v>
      </c>
    </row>
    <row r="26" spans="1:7" x14ac:dyDescent="0.2">
      <c r="A26" s="3" t="str">
        <f>'Clean Data'!A26</f>
        <v>2006-01-01</v>
      </c>
      <c r="B26" s="5">
        <f>('Clean Data'!B26/'Clean Data'!B22)-1</f>
        <v>5.0832866876422855E-2</v>
      </c>
      <c r="C26" s="5">
        <f>('Clean Data'!C26/'Clean Data'!C22)-1</f>
        <v>3.066739536454266E-2</v>
      </c>
      <c r="D26" s="5">
        <f>('Clean Data'!D26/'Clean Data'!D22)-1</f>
        <v>0.17986672292269001</v>
      </c>
      <c r="E26" s="5">
        <f>('Clean Data'!E26/'Clean Data'!E22)-1</f>
        <v>1.9345716216650155E-2</v>
      </c>
      <c r="F26" s="5">
        <f>('Clean Data'!F26/'Clean Data'!F22)-1</f>
        <v>0.11704082828413442</v>
      </c>
      <c r="G26" s="5">
        <f>('Clean Data'!G26/'Clean Data'!G22)-1</f>
        <v>4.849164478239576E-2</v>
      </c>
    </row>
    <row r="27" spans="1:7" x14ac:dyDescent="0.2">
      <c r="A27" s="3" t="str">
        <f>'Clean Data'!A27</f>
        <v>2006-04-01</v>
      </c>
      <c r="B27" s="5">
        <f>('Clean Data'!B27/'Clean Data'!B23)-1</f>
        <v>5.2199888152569152E-2</v>
      </c>
      <c r="C27" s="5">
        <f>('Clean Data'!C27/'Clean Data'!C23)-1</f>
        <v>3.1447945283062717E-2</v>
      </c>
      <c r="D27" s="5">
        <f>('Clean Data'!D27/'Clean Data'!D23)-1</f>
        <v>0.21530202423109568</v>
      </c>
      <c r="E27" s="5">
        <f>('Clean Data'!E27/'Clean Data'!E23)-1</f>
        <v>9.8497441780798223E-3</v>
      </c>
      <c r="F27" s="5">
        <f>('Clean Data'!F27/'Clean Data'!F23)-1</f>
        <v>0.11370433716612349</v>
      </c>
      <c r="G27" s="5">
        <f>('Clean Data'!G27/'Clean Data'!G23)-1</f>
        <v>9.2530052694231424E-2</v>
      </c>
    </row>
    <row r="28" spans="1:7" x14ac:dyDescent="0.2">
      <c r="A28" s="3" t="str">
        <f>'Clean Data'!A28</f>
        <v>2006-07-01</v>
      </c>
      <c r="B28" s="5">
        <f>('Clean Data'!B28/'Clean Data'!B24)-1</f>
        <v>5.7507546378008367E-2</v>
      </c>
      <c r="C28" s="5">
        <f>('Clean Data'!C28/'Clean Data'!C24)-1</f>
        <v>2.9970474774749789E-2</v>
      </c>
      <c r="D28" s="5">
        <f>('Clean Data'!D28/'Clean Data'!D24)-1</f>
        <v>9.6866974930502892E-3</v>
      </c>
      <c r="E28" s="5">
        <f>('Clean Data'!E28/'Clean Data'!E24)-1</f>
        <v>5.8893755165809747E-3</v>
      </c>
      <c r="F28" s="5">
        <f>('Clean Data'!F28/'Clean Data'!F24)-1</f>
        <v>8.5633834598156655E-2</v>
      </c>
      <c r="G28" s="5">
        <f>('Clean Data'!G28/'Clean Data'!G24)-1</f>
        <v>0.10850315391787757</v>
      </c>
    </row>
    <row r="29" spans="1:7" x14ac:dyDescent="0.2">
      <c r="A29" s="3" t="str">
        <f>'Clean Data'!A29</f>
        <v>2006-10-01</v>
      </c>
      <c r="B29" s="5">
        <f>('Clean Data'!B29/'Clean Data'!B25)-1</f>
        <v>5.9313683409521367E-2</v>
      </c>
      <c r="C29" s="5">
        <f>('Clean Data'!C29/'Clean Data'!C25)-1</f>
        <v>3.479477624998939E-2</v>
      </c>
      <c r="D29" s="5">
        <f>('Clean Data'!D29/'Clean Data'!D25)-1</f>
        <v>1.3211255792042298E-2</v>
      </c>
      <c r="E29" s="5">
        <f>('Clean Data'!E29/'Clean Data'!E25)-1</f>
        <v>7.0263710063620977E-2</v>
      </c>
      <c r="F29" s="5">
        <f>('Clean Data'!F29/'Clean Data'!F25)-1</f>
        <v>6.3729221489591925E-2</v>
      </c>
      <c r="G29" s="5">
        <f>('Clean Data'!G29/'Clean Data'!G25)-1</f>
        <v>9.151432334771048E-2</v>
      </c>
    </row>
    <row r="30" spans="1:7" x14ac:dyDescent="0.2">
      <c r="A30" s="3" t="str">
        <f>'Clean Data'!A30</f>
        <v>2007-01-01</v>
      </c>
      <c r="B30" s="5">
        <f>('Clean Data'!B30/'Clean Data'!B26)-1</f>
        <v>6.2503930971656629E-2</v>
      </c>
      <c r="C30" s="5">
        <f>('Clean Data'!C30/'Clean Data'!C26)-1</f>
        <v>4.6158838788175949E-2</v>
      </c>
      <c r="D30" s="5">
        <f>('Clean Data'!D30/'Clean Data'!D26)-1</f>
        <v>3.6215177838970991E-2</v>
      </c>
      <c r="E30" s="5">
        <f>('Clean Data'!E30/'Clean Data'!E26)-1</f>
        <v>7.3958896424654474E-2</v>
      </c>
      <c r="F30" s="5">
        <f>('Clean Data'!F30/'Clean Data'!F26)-1</f>
        <v>8.5455454374477657E-2</v>
      </c>
      <c r="G30" s="5">
        <f>('Clean Data'!G30/'Clean Data'!G26)-1</f>
        <v>8.5050732436298127E-2</v>
      </c>
    </row>
    <row r="31" spans="1:7" x14ac:dyDescent="0.2">
      <c r="A31" s="3" t="str">
        <f>'Clean Data'!A31</f>
        <v>2007-04-01</v>
      </c>
      <c r="B31" s="5">
        <f>('Clean Data'!B31/'Clean Data'!B27)-1</f>
        <v>6.6594541383670158E-2</v>
      </c>
      <c r="C31" s="5">
        <f>('Clean Data'!C31/'Clean Data'!C27)-1</f>
        <v>4.8266539005540343E-2</v>
      </c>
      <c r="D31" s="5">
        <f>('Clean Data'!D31/'Clean Data'!D27)-1</f>
        <v>3.0056697845090463E-2</v>
      </c>
      <c r="E31" s="5">
        <f>('Clean Data'!E31/'Clean Data'!E27)-1</f>
        <v>8.0556250153903441E-2</v>
      </c>
      <c r="F31" s="5">
        <f>('Clean Data'!F31/'Clean Data'!F27)-1</f>
        <v>0.10237150495711855</v>
      </c>
      <c r="G31" s="5">
        <f>('Clean Data'!G31/'Clean Data'!G27)-1</f>
        <v>6.5251457020617742E-2</v>
      </c>
    </row>
    <row r="32" spans="1:7" x14ac:dyDescent="0.2">
      <c r="A32" s="3" t="str">
        <f>'Clean Data'!A32</f>
        <v>2007-07-01</v>
      </c>
      <c r="B32" s="5">
        <f>('Clean Data'!B32/'Clean Data'!B28)-1</f>
        <v>6.6223676563117451E-2</v>
      </c>
      <c r="C32" s="5">
        <f>('Clean Data'!C32/'Clean Data'!C28)-1</f>
        <v>5.1980417915261645E-2</v>
      </c>
      <c r="D32" s="5">
        <f>('Clean Data'!D32/'Clean Data'!D28)-1</f>
        <v>4.3197831477802762E-2</v>
      </c>
      <c r="E32" s="5">
        <f>('Clean Data'!E32/'Clean Data'!E28)-1</f>
        <v>9.4482017902287385E-2</v>
      </c>
      <c r="F32" s="5">
        <f>('Clean Data'!F32/'Clean Data'!F28)-1</f>
        <v>7.6836805332742397E-2</v>
      </c>
      <c r="G32" s="5">
        <f>('Clean Data'!G32/'Clean Data'!G28)-1</f>
        <v>6.9770596662675599E-2</v>
      </c>
    </row>
    <row r="33" spans="1:7" x14ac:dyDescent="0.2">
      <c r="A33" s="3" t="str">
        <f>'Clean Data'!A33</f>
        <v>2007-10-01</v>
      </c>
      <c r="B33" s="5">
        <f>('Clean Data'!B33/'Clean Data'!B29)-1</f>
        <v>5.8579526023529338E-2</v>
      </c>
      <c r="C33" s="5">
        <f>('Clean Data'!C33/'Clean Data'!C29)-1</f>
        <v>5.3716968302372825E-2</v>
      </c>
      <c r="D33" s="5">
        <f>('Clean Data'!D33/'Clean Data'!D29)-1</f>
        <v>4.6184169524780883E-2</v>
      </c>
      <c r="E33" s="5">
        <f>('Clean Data'!E33/'Clean Data'!E29)-1</f>
        <v>0.1226729911874227</v>
      </c>
      <c r="F33" s="5">
        <f>('Clean Data'!F33/'Clean Data'!F29)-1</f>
        <v>7.7691814271096282E-2</v>
      </c>
      <c r="G33" s="5">
        <f>('Clean Data'!G33/'Clean Data'!G29)-1</f>
        <v>0.14299736335789803</v>
      </c>
    </row>
    <row r="34" spans="1:7" x14ac:dyDescent="0.2">
      <c r="A34" s="3" t="str">
        <f>'Clean Data'!A34</f>
        <v>2008-01-01</v>
      </c>
      <c r="B34" s="5">
        <f>('Clean Data'!B34/'Clean Data'!B30)-1</f>
        <v>6.4803792059942467E-2</v>
      </c>
      <c r="C34" s="5">
        <f>('Clean Data'!C34/'Clean Data'!C30)-1</f>
        <v>5.5686695241986328E-2</v>
      </c>
      <c r="D34" s="5">
        <f>('Clean Data'!D34/'Clean Data'!D30)-1</f>
        <v>0.12587309193149965</v>
      </c>
      <c r="E34" s="5">
        <f>('Clean Data'!E34/'Clean Data'!E30)-1</f>
        <v>0.14489688604361328</v>
      </c>
      <c r="F34" s="5">
        <f>('Clean Data'!F34/'Clean Data'!F30)-1</f>
        <v>0.16492942829992252</v>
      </c>
      <c r="G34" s="5">
        <f>('Clean Data'!G34/'Clean Data'!G30)-1</f>
        <v>0.23016816693550735</v>
      </c>
    </row>
    <row r="35" spans="1:7" x14ac:dyDescent="0.2">
      <c r="A35" s="3" t="str">
        <f>'Clean Data'!A35</f>
        <v>2008-04-01</v>
      </c>
      <c r="B35" s="5">
        <f>('Clean Data'!B35/'Clean Data'!B31)-1</f>
        <v>6.286158631683092E-2</v>
      </c>
      <c r="C35" s="5">
        <f>('Clean Data'!C35/'Clean Data'!C31)-1</f>
        <v>5.5663686542079649E-2</v>
      </c>
      <c r="D35" s="5">
        <f>('Clean Data'!D35/'Clean Data'!D31)-1</f>
        <v>8.583039887658872E-2</v>
      </c>
      <c r="E35" s="5">
        <f>('Clean Data'!E35/'Clean Data'!E31)-1</f>
        <v>0.13251592045429361</v>
      </c>
      <c r="F35" s="5">
        <f>('Clean Data'!F35/'Clean Data'!F31)-1</f>
        <v>0.11272166728913313</v>
      </c>
      <c r="G35" s="5">
        <f>('Clean Data'!G35/'Clean Data'!G31)-1</f>
        <v>0.14934877536434876</v>
      </c>
    </row>
    <row r="36" spans="1:7" x14ac:dyDescent="0.2">
      <c r="A36" s="3" t="str">
        <f>'Clean Data'!A36</f>
        <v>2008-07-01</v>
      </c>
      <c r="B36" s="5">
        <f>('Clean Data'!B36/'Clean Data'!B32)-1</f>
        <v>6.0224896339927003E-2</v>
      </c>
      <c r="C36" s="5">
        <f>('Clean Data'!C36/'Clean Data'!C32)-1</f>
        <v>5.2224330553329645E-2</v>
      </c>
      <c r="D36" s="5">
        <f>('Clean Data'!D36/'Clean Data'!D32)-1</f>
        <v>0.13730667782516015</v>
      </c>
      <c r="E36" s="5">
        <f>('Clean Data'!E36/'Clean Data'!E32)-1</f>
        <v>0.11432435769704785</v>
      </c>
      <c r="F36" s="5">
        <f>('Clean Data'!F36/'Clean Data'!F32)-1</f>
        <v>8.4441046132898157E-2</v>
      </c>
      <c r="G36" s="5">
        <f>('Clean Data'!G36/'Clean Data'!G32)-1</f>
        <v>5.5206212358282825E-2</v>
      </c>
    </row>
    <row r="37" spans="1:7" x14ac:dyDescent="0.2">
      <c r="A37" s="3" t="str">
        <f>'Clean Data'!A37</f>
        <v>2008-10-01</v>
      </c>
      <c r="B37" s="5">
        <f>('Clean Data'!B37/'Clean Data'!B33)-1</f>
        <v>5.2910447549386674E-2</v>
      </c>
      <c r="C37" s="5">
        <f>('Clean Data'!C37/'Clean Data'!C33)-1</f>
        <v>5.0012560050038291E-2</v>
      </c>
      <c r="D37" s="5">
        <f>('Clean Data'!D37/'Clean Data'!D33)-1</f>
        <v>6.8911021530377869E-2</v>
      </c>
      <c r="E37" s="5">
        <f>('Clean Data'!E37/'Clean Data'!E33)-1</f>
        <v>8.6768404921910403E-2</v>
      </c>
      <c r="F37" s="5">
        <f>('Clean Data'!F37/'Clean Data'!F33)-1</f>
        <v>2.326641745132263E-2</v>
      </c>
      <c r="G37" s="5">
        <f>('Clean Data'!G37/'Clean Data'!G33)-1</f>
        <v>-1.5577705337918135E-2</v>
      </c>
    </row>
    <row r="38" spans="1:7" x14ac:dyDescent="0.2">
      <c r="A38" s="3" t="str">
        <f>'Clean Data'!A38</f>
        <v>2009-01-01</v>
      </c>
      <c r="B38" s="5">
        <f>('Clean Data'!B38/'Clean Data'!B34)-1</f>
        <v>4.4059572019170545E-2</v>
      </c>
      <c r="C38" s="5">
        <f>('Clean Data'!C38/'Clean Data'!C34)-1</f>
        <v>4.9789873541500773E-2</v>
      </c>
      <c r="D38" s="5">
        <f>('Clean Data'!D38/'Clean Data'!D34)-1</f>
        <v>0.12127552199118097</v>
      </c>
      <c r="E38" s="5">
        <f>('Clean Data'!E38/'Clean Data'!E34)-1</f>
        <v>5.1309359784054376E-2</v>
      </c>
      <c r="F38" s="5">
        <f>('Clean Data'!F38/'Clean Data'!F34)-1</f>
        <v>-0.1049895030177751</v>
      </c>
      <c r="G38" s="5">
        <f>('Clean Data'!G38/'Clean Data'!G34)-1</f>
        <v>-0.13749191456227661</v>
      </c>
    </row>
    <row r="39" spans="1:7" x14ac:dyDescent="0.2">
      <c r="A39" s="3" t="str">
        <f>'Clean Data'!A39</f>
        <v>2009-04-01</v>
      </c>
      <c r="B39" s="5">
        <f>('Clean Data'!B39/'Clean Data'!B35)-1</f>
        <v>4.1812510804107417E-2</v>
      </c>
      <c r="C39" s="5">
        <f>('Clean Data'!C39/'Clean Data'!C35)-1</f>
        <v>4.6360662247195483E-2</v>
      </c>
      <c r="D39" s="5">
        <f>('Clean Data'!D39/'Clean Data'!D35)-1</f>
        <v>0.13023620989946516</v>
      </c>
      <c r="E39" s="5">
        <f>('Clean Data'!E39/'Clean Data'!E35)-1</f>
        <v>3.6332207332993915E-2</v>
      </c>
      <c r="F39" s="5">
        <f>('Clean Data'!F39/'Clean Data'!F35)-1</f>
        <v>-5.4525316596039874E-2</v>
      </c>
      <c r="G39" s="5">
        <f>('Clean Data'!G39/'Clean Data'!G35)-1</f>
        <v>-0.14094654328420064</v>
      </c>
    </row>
    <row r="40" spans="1:7" x14ac:dyDescent="0.2">
      <c r="A40" s="3" t="str">
        <f>'Clean Data'!A40</f>
        <v>2009-07-01</v>
      </c>
      <c r="B40" s="5">
        <f>('Clean Data'!B40/'Clean Data'!B36)-1</f>
        <v>4.4229287334720313E-2</v>
      </c>
      <c r="C40" s="5">
        <f>('Clean Data'!C40/'Clean Data'!C36)-1</f>
        <v>4.7047110400001424E-2</v>
      </c>
      <c r="D40" s="5">
        <f>('Clean Data'!D40/'Clean Data'!D36)-1</f>
        <v>1.7621289780352933E-2</v>
      </c>
      <c r="E40" s="5">
        <f>('Clean Data'!E40/'Clean Data'!E36)-1</f>
        <v>3.7910034808241289E-2</v>
      </c>
      <c r="F40" s="5">
        <f>('Clean Data'!F40/'Clean Data'!F36)-1</f>
        <v>5.2630822232073715E-3</v>
      </c>
      <c r="G40" s="5">
        <f>('Clean Data'!G40/'Clean Data'!G36)-1</f>
        <v>-8.5289959340458577E-2</v>
      </c>
    </row>
    <row r="41" spans="1:7" x14ac:dyDescent="0.2">
      <c r="A41" s="3" t="str">
        <f>'Clean Data'!A41</f>
        <v>2009-10-01</v>
      </c>
      <c r="B41" s="5">
        <f>('Clean Data'!B41/'Clean Data'!B37)-1</f>
        <v>5.7801693121124487E-2</v>
      </c>
      <c r="C41" s="5">
        <f>('Clean Data'!C41/'Clean Data'!C37)-1</f>
        <v>4.5246318583386236E-2</v>
      </c>
      <c r="D41" s="5">
        <f>('Clean Data'!D41/'Clean Data'!D37)-1</f>
        <v>0.18218154789056884</v>
      </c>
      <c r="E41" s="5">
        <f>('Clean Data'!E41/'Clean Data'!E37)-1</f>
        <v>3.1852627051898619E-2</v>
      </c>
      <c r="F41" s="5">
        <f>('Clean Data'!F41/'Clean Data'!F37)-1</f>
        <v>7.9953960065393126E-2</v>
      </c>
      <c r="G41" s="5">
        <f>('Clean Data'!G41/'Clean Data'!G37)-1</f>
        <v>6.065776181196636E-4</v>
      </c>
    </row>
    <row r="42" spans="1:7" x14ac:dyDescent="0.2">
      <c r="A42" s="3" t="str">
        <f>'Clean Data'!A42</f>
        <v>2010-01-01</v>
      </c>
      <c r="B42" s="5">
        <f>('Clean Data'!B42/'Clean Data'!B38)-1</f>
        <v>6.0412655487644962E-2</v>
      </c>
      <c r="C42" s="5">
        <f>('Clean Data'!C42/'Clean Data'!C38)-1</f>
        <v>4.2376312793729332E-2</v>
      </c>
      <c r="D42" s="5">
        <f>('Clean Data'!D42/'Clean Data'!D38)-1</f>
        <v>-3.7462034178735837E-2</v>
      </c>
      <c r="E42" s="5">
        <f>('Clean Data'!E42/'Clean Data'!E38)-1</f>
        <v>4.2895777354226006E-2</v>
      </c>
      <c r="F42" s="5">
        <f>('Clean Data'!F42/'Clean Data'!F38)-1</f>
        <v>0.18207013229493874</v>
      </c>
      <c r="G42" s="5">
        <f>('Clean Data'!G42/'Clean Data'!G38)-1</f>
        <v>0.12891615598348993</v>
      </c>
    </row>
    <row r="43" spans="1:7" x14ac:dyDescent="0.2">
      <c r="A43" s="3" t="str">
        <f>'Clean Data'!A43</f>
        <v>2010-04-01</v>
      </c>
      <c r="B43" s="5">
        <f>('Clean Data'!B43/'Clean Data'!B39)-1</f>
        <v>6.4854593252637205E-2</v>
      </c>
      <c r="C43" s="5">
        <f>('Clean Data'!C43/'Clean Data'!C39)-1</f>
        <v>4.4216944492110555E-2</v>
      </c>
      <c r="D43" s="5">
        <f>('Clean Data'!D43/'Clean Data'!D39)-1</f>
        <v>-2.5172100798340757E-3</v>
      </c>
      <c r="E43" s="5">
        <f>('Clean Data'!E43/'Clean Data'!E39)-1</f>
        <v>6.691754484882928E-2</v>
      </c>
      <c r="F43" s="5">
        <f>('Clean Data'!F43/'Clean Data'!F39)-1</f>
        <v>0.14281121841869893</v>
      </c>
      <c r="G43" s="5">
        <f>('Clean Data'!G43/'Clean Data'!G39)-1</f>
        <v>0.18048536204664156</v>
      </c>
    </row>
    <row r="44" spans="1:7" x14ac:dyDescent="0.2">
      <c r="A44" s="3" t="str">
        <f>'Clean Data'!A44</f>
        <v>2010-07-01</v>
      </c>
      <c r="B44" s="5">
        <f>('Clean Data'!B44/'Clean Data'!B40)-1</f>
        <v>6.4182072253478051E-2</v>
      </c>
      <c r="C44" s="5">
        <f>('Clean Data'!C44/'Clean Data'!C40)-1</f>
        <v>3.673937210037681E-2</v>
      </c>
      <c r="D44" s="5">
        <f>('Clean Data'!D44/'Clean Data'!D40)-1</f>
        <v>0.14695620210649163</v>
      </c>
      <c r="E44" s="5">
        <f>('Clean Data'!E44/'Clean Data'!E40)-1</f>
        <v>7.0568918404389613E-2</v>
      </c>
      <c r="F44" s="5">
        <f>('Clean Data'!F44/'Clean Data'!F40)-1</f>
        <v>0.12285746880451631</v>
      </c>
      <c r="G44" s="5">
        <f>('Clean Data'!G44/'Clean Data'!G40)-1</f>
        <v>0.17089484814441702</v>
      </c>
    </row>
    <row r="45" spans="1:7" x14ac:dyDescent="0.2">
      <c r="A45" s="3" t="str">
        <f>'Clean Data'!A45</f>
        <v>2010-10-01</v>
      </c>
      <c r="B45" s="5">
        <f>('Clean Data'!B45/'Clean Data'!B41)-1</f>
        <v>6.555315087963054E-2</v>
      </c>
      <c r="C45" s="5">
        <f>('Clean Data'!C45/'Clean Data'!C41)-1</f>
        <v>4.0588924613329525E-2</v>
      </c>
      <c r="D45" s="5">
        <f>('Clean Data'!D45/'Clean Data'!D41)-1</f>
        <v>5.8274917096106993E-2</v>
      </c>
      <c r="E45" s="5">
        <f>('Clean Data'!E45/'Clean Data'!E41)-1</f>
        <v>8.6797988000213211E-2</v>
      </c>
      <c r="F45" s="5">
        <f>('Clean Data'!F45/'Clean Data'!F41)-1</f>
        <v>0.16461537391091952</v>
      </c>
      <c r="G45" s="5">
        <f>('Clean Data'!G45/'Clean Data'!G41)-1</f>
        <v>0.18210689702317828</v>
      </c>
    </row>
    <row r="46" spans="1:7" x14ac:dyDescent="0.2">
      <c r="A46" s="3" t="str">
        <f>'Clean Data'!A46</f>
        <v>2011-01-01</v>
      </c>
      <c r="B46" s="5">
        <f>('Clean Data'!B46/'Clean Data'!B42)-1</f>
        <v>6.3880009347598188E-2</v>
      </c>
      <c r="C46" s="5">
        <f>('Clean Data'!C46/'Clean Data'!C42)-1</f>
        <v>4.3732853257406168E-2</v>
      </c>
      <c r="D46" s="5">
        <f>('Clean Data'!D46/'Clean Data'!D42)-1</f>
        <v>8.766341393390964E-2</v>
      </c>
      <c r="E46" s="5">
        <f>('Clean Data'!E46/'Clean Data'!E42)-1</f>
        <v>9.3060473876963368E-2</v>
      </c>
      <c r="F46" s="5">
        <f>('Clean Data'!F46/'Clean Data'!F42)-1</f>
        <v>0.12582248539552876</v>
      </c>
      <c r="G46" s="5">
        <f>('Clean Data'!G46/'Clean Data'!G42)-1</f>
        <v>0.14975282014713054</v>
      </c>
    </row>
    <row r="47" spans="1:7" x14ac:dyDescent="0.2">
      <c r="A47" s="3" t="str">
        <f>'Clean Data'!A47</f>
        <v>2011-04-01</v>
      </c>
      <c r="B47" s="5">
        <f>('Clean Data'!B47/'Clean Data'!B43)-1</f>
        <v>6.1368669796640685E-2</v>
      </c>
      <c r="C47" s="5">
        <f>('Clean Data'!C47/'Clean Data'!C43)-1</f>
        <v>4.6349638462416687E-2</v>
      </c>
      <c r="D47" s="5">
        <f>('Clean Data'!D47/'Clean Data'!D43)-1</f>
        <v>6.8581480850417043E-2</v>
      </c>
      <c r="E47" s="5">
        <f>('Clean Data'!E47/'Clean Data'!E43)-1</f>
        <v>8.4300307887515968E-2</v>
      </c>
      <c r="F47" s="5">
        <f>('Clean Data'!F47/'Clean Data'!F43)-1</f>
        <v>0.18360106876527915</v>
      </c>
      <c r="G47" s="5">
        <f>('Clean Data'!G47/'Clean Data'!G43)-1</f>
        <v>0.13726530059631803</v>
      </c>
    </row>
    <row r="48" spans="1:7" x14ac:dyDescent="0.2">
      <c r="A48" s="3" t="str">
        <f>'Clean Data'!A48</f>
        <v>2011-07-01</v>
      </c>
      <c r="B48" s="5">
        <f>('Clean Data'!B48/'Clean Data'!B44)-1</f>
        <v>6.1600678123512997E-2</v>
      </c>
      <c r="C48" s="5">
        <f>('Clean Data'!C48/'Clean Data'!C44)-1</f>
        <v>5.6611894205130797E-2</v>
      </c>
      <c r="D48" s="5">
        <f>('Clean Data'!D48/'Clean Data'!D44)-1</f>
        <v>4.0384655481654264E-2</v>
      </c>
      <c r="E48" s="5">
        <f>('Clean Data'!E48/'Clean Data'!E44)-1</f>
        <v>8.8391002923670303E-2</v>
      </c>
      <c r="F48" s="5">
        <f>('Clean Data'!F48/'Clean Data'!F44)-1</f>
        <v>0.19495558305063976</v>
      </c>
      <c r="G48" s="5">
        <f>('Clean Data'!G48/'Clean Data'!G44)-1</f>
        <v>0.18273587078975817</v>
      </c>
    </row>
    <row r="49" spans="1:7" x14ac:dyDescent="0.2">
      <c r="A49" s="3" t="str">
        <f>'Clean Data'!A49</f>
        <v>2011-10-01</v>
      </c>
      <c r="B49" s="5">
        <f>('Clean Data'!B49/'Clean Data'!B45)-1</f>
        <v>6.0031689476635286E-2</v>
      </c>
      <c r="C49" s="5">
        <f>('Clean Data'!C49/'Clean Data'!C45)-1</f>
        <v>5.5514254153761211E-2</v>
      </c>
      <c r="D49" s="5">
        <f>('Clean Data'!D49/'Clean Data'!D45)-1</f>
        <v>2.9203017572899226E-2</v>
      </c>
      <c r="E49" s="5">
        <f>('Clean Data'!E49/'Clean Data'!E45)-1</f>
        <v>8.8741527023990852E-2</v>
      </c>
      <c r="F49" s="5">
        <f>('Clean Data'!F49/'Clean Data'!F45)-1</f>
        <v>9.1065876722768557E-2</v>
      </c>
      <c r="G49" s="5">
        <f>('Clean Data'!G49/'Clean Data'!G45)-1</f>
        <v>0.1319986822266126</v>
      </c>
    </row>
    <row r="50" spans="1:7" x14ac:dyDescent="0.2">
      <c r="A50" s="3" t="str">
        <f>'Clean Data'!A50</f>
        <v>2012-01-01</v>
      </c>
      <c r="B50" s="5">
        <f>('Clean Data'!B50/'Clean Data'!B46)-1</f>
        <v>6.0681167107678569E-2</v>
      </c>
      <c r="C50" s="5">
        <f>('Clean Data'!C50/'Clean Data'!C46)-1</f>
        <v>5.5484146588387073E-2</v>
      </c>
      <c r="D50" s="5">
        <f>('Clean Data'!D50/'Clean Data'!D46)-1</f>
        <v>6.7338617306298865E-2</v>
      </c>
      <c r="E50" s="5">
        <f>('Clean Data'!E50/'Clean Data'!E46)-1</f>
        <v>8.7565631005400046E-2</v>
      </c>
      <c r="F50" s="5">
        <f>('Clean Data'!F50/'Clean Data'!F46)-1</f>
        <v>7.1103670165965749E-2</v>
      </c>
      <c r="G50" s="5">
        <f>('Clean Data'!G50/'Clean Data'!G46)-1</f>
        <v>0.11407954604205228</v>
      </c>
    </row>
    <row r="51" spans="1:7" x14ac:dyDescent="0.2">
      <c r="A51" s="3" t="str">
        <f>'Clean Data'!A51</f>
        <v>2012-04-01</v>
      </c>
      <c r="B51" s="5">
        <f>('Clean Data'!B51/'Clean Data'!B47)-1</f>
        <v>6.1033531637634919E-2</v>
      </c>
      <c r="C51" s="5">
        <f>('Clean Data'!C51/'Clean Data'!C47)-1</f>
        <v>5.5467441016226804E-2</v>
      </c>
      <c r="D51" s="5">
        <f>('Clean Data'!D51/'Clean Data'!D47)-1</f>
        <v>0.14727499915963138</v>
      </c>
      <c r="E51" s="5">
        <f>('Clean Data'!E51/'Clean Data'!E47)-1</f>
        <v>9.471396260043341E-2</v>
      </c>
      <c r="F51" s="5">
        <f>('Clean Data'!F51/'Clean Data'!F47)-1</f>
        <v>1.6077416141906831E-2</v>
      </c>
      <c r="G51" s="5">
        <f>('Clean Data'!G51/'Clean Data'!G47)-1</f>
        <v>0.12659027274333146</v>
      </c>
    </row>
    <row r="52" spans="1:7" x14ac:dyDescent="0.2">
      <c r="A52" s="3" t="str">
        <f>'Clean Data'!A52</f>
        <v>2012-07-01</v>
      </c>
      <c r="B52" s="5">
        <f>('Clean Data'!B52/'Clean Data'!B48)-1</f>
        <v>6.0053397664639574E-2</v>
      </c>
      <c r="C52" s="5">
        <f>('Clean Data'!C52/'Clean Data'!C48)-1</f>
        <v>5.4992512853652364E-2</v>
      </c>
      <c r="D52" s="5">
        <f>('Clean Data'!D52/'Clean Data'!D48)-1</f>
        <v>-2.5558628203474987E-2</v>
      </c>
      <c r="E52" s="5">
        <f>('Clean Data'!E52/'Clean Data'!E48)-1</f>
        <v>9.4884856424999553E-2</v>
      </c>
      <c r="F52" s="5">
        <f>('Clean Data'!F52/'Clean Data'!F48)-1</f>
        <v>-1.6191624692832418E-2</v>
      </c>
      <c r="G52" s="5">
        <f>('Clean Data'!G52/'Clean Data'!G48)-1</f>
        <v>2.3587999446318619E-2</v>
      </c>
    </row>
    <row r="53" spans="1:7" x14ac:dyDescent="0.2">
      <c r="A53" s="3" t="str">
        <f>'Clean Data'!A53</f>
        <v>2012-10-01</v>
      </c>
      <c r="B53" s="5">
        <f>('Clean Data'!B53/'Clean Data'!B49)-1</f>
        <v>5.9468020902414764E-2</v>
      </c>
      <c r="C53" s="5">
        <f>('Clean Data'!C53/'Clean Data'!C49)-1</f>
        <v>5.4719041875152197E-2</v>
      </c>
      <c r="D53" s="5">
        <f>('Clean Data'!D53/'Clean Data'!D49)-1</f>
        <v>2.4146182353801393E-4</v>
      </c>
      <c r="E53" s="5">
        <f>('Clean Data'!E53/'Clean Data'!E49)-1</f>
        <v>8.7852747851521418E-2</v>
      </c>
      <c r="F53" s="5">
        <f>('Clean Data'!F53/'Clean Data'!F49)-1</f>
        <v>-2.5016508280533145E-3</v>
      </c>
      <c r="G53" s="5">
        <f>('Clean Data'!G53/'Clean Data'!G49)-1</f>
        <v>6.1381211221888554E-2</v>
      </c>
    </row>
    <row r="54" spans="1:7" x14ac:dyDescent="0.2">
      <c r="A54" s="3" t="str">
        <f>'Clean Data'!A54</f>
        <v>2013-01-01</v>
      </c>
      <c r="B54" s="5">
        <f>('Clean Data'!B54/'Clean Data'!B50)-1</f>
        <v>5.7947813964410289E-2</v>
      </c>
      <c r="C54" s="5">
        <f>('Clean Data'!C54/'Clean Data'!C50)-1</f>
        <v>5.5239627078384368E-2</v>
      </c>
      <c r="D54" s="5">
        <f>('Clean Data'!D54/'Clean Data'!D50)-1</f>
        <v>3.1444942200558712E-2</v>
      </c>
      <c r="E54" s="5">
        <f>('Clean Data'!E54/'Clean Data'!E50)-1</f>
        <v>7.0497874205868838E-2</v>
      </c>
      <c r="F54" s="5">
        <f>('Clean Data'!F54/'Clean Data'!F50)-1</f>
        <v>2.2862230873807121E-2</v>
      </c>
      <c r="G54" s="5">
        <f>('Clean Data'!G54/'Clean Data'!G50)-1</f>
        <v>2.3814726692047872E-2</v>
      </c>
    </row>
    <row r="55" spans="1:7" x14ac:dyDescent="0.2">
      <c r="A55" s="3" t="str">
        <f>'Clean Data'!A55</f>
        <v>2013-04-01</v>
      </c>
      <c r="B55" s="5">
        <f>('Clean Data'!B55/'Clean Data'!B51)-1</f>
        <v>5.6138513108623611E-2</v>
      </c>
      <c r="C55" s="5">
        <f>('Clean Data'!C55/'Clean Data'!C51)-1</f>
        <v>5.411014469989528E-2</v>
      </c>
      <c r="D55" s="5">
        <f>('Clean Data'!D55/'Clean Data'!D51)-1</f>
        <v>3.3579063289825184E-2</v>
      </c>
      <c r="E55" s="5">
        <f>('Clean Data'!E55/'Clean Data'!E51)-1</f>
        <v>5.4148949171388017E-2</v>
      </c>
      <c r="F55" s="5">
        <f>('Clean Data'!F55/'Clean Data'!F51)-1</f>
        <v>3.3284118690959374E-2</v>
      </c>
      <c r="G55" s="5">
        <f>('Clean Data'!G55/'Clean Data'!G51)-1</f>
        <v>4.2918466034784775E-3</v>
      </c>
    </row>
    <row r="56" spans="1:7" x14ac:dyDescent="0.2">
      <c r="A56" s="3" t="str">
        <f>'Clean Data'!A56</f>
        <v>2013-07-01</v>
      </c>
      <c r="B56" s="5">
        <f>('Clean Data'!B56/'Clean Data'!B52)-1</f>
        <v>5.4789149691909733E-2</v>
      </c>
      <c r="C56" s="5">
        <f>('Clean Data'!C56/'Clean Data'!C52)-1</f>
        <v>5.4724608564818311E-2</v>
      </c>
      <c r="D56" s="5">
        <f>('Clean Data'!D56/'Clean Data'!D52)-1</f>
        <v>0.12399454406961863</v>
      </c>
      <c r="E56" s="5">
        <f>('Clean Data'!E56/'Clean Data'!E52)-1</f>
        <v>4.2857488584993719E-2</v>
      </c>
      <c r="F56" s="5">
        <f>('Clean Data'!F56/'Clean Data'!F52)-1</f>
        <v>2.7535143542086749E-2</v>
      </c>
      <c r="G56" s="5">
        <f>('Clean Data'!G56/'Clean Data'!G52)-1</f>
        <v>5.2690332937152196E-2</v>
      </c>
    </row>
    <row r="57" spans="1:7" x14ac:dyDescent="0.2">
      <c r="A57" s="3" t="str">
        <f>'Clean Data'!A57</f>
        <v>2013-10-01</v>
      </c>
      <c r="B57" s="5">
        <f>('Clean Data'!B57/'Clean Data'!B53)-1</f>
        <v>5.3519209224583086E-2</v>
      </c>
      <c r="C57" s="5">
        <f>('Clean Data'!C57/'Clean Data'!C53)-1</f>
        <v>5.5041905686552095E-2</v>
      </c>
      <c r="D57" s="5">
        <f>('Clean Data'!D57/'Clean Data'!D53)-1</f>
        <v>8.4660627609906225E-2</v>
      </c>
      <c r="E57" s="5">
        <f>('Clean Data'!E57/'Clean Data'!E53)-1</f>
        <v>3.4148582084805534E-2</v>
      </c>
      <c r="F57" s="5">
        <f>('Clean Data'!F57/'Clean Data'!F53)-1</f>
        <v>8.3110744796873304E-2</v>
      </c>
      <c r="G57" s="5">
        <f>('Clean Data'!G57/'Clean Data'!G53)-1</f>
        <v>-4.8268276657416065E-3</v>
      </c>
    </row>
    <row r="58" spans="1:7" x14ac:dyDescent="0.2">
      <c r="A58" s="3" t="str">
        <f>'Clean Data'!A58</f>
        <v>2014-01-01</v>
      </c>
      <c r="B58" s="5">
        <f>('Clean Data'!B58/'Clean Data'!B54)-1</f>
        <v>5.1690660432152313E-2</v>
      </c>
      <c r="C58" s="5">
        <f>('Clean Data'!C58/'Clean Data'!C54)-1</f>
        <v>5.4735690364541068E-2</v>
      </c>
      <c r="D58" s="5">
        <f>('Clean Data'!D58/'Clean Data'!D54)-1</f>
        <v>5.6462568191073981E-2</v>
      </c>
      <c r="E58" s="5">
        <f>('Clean Data'!E58/'Clean Data'!E54)-1</f>
        <v>4.1320662934072327E-2</v>
      </c>
      <c r="F58" s="5">
        <f>('Clean Data'!F58/'Clean Data'!F54)-1</f>
        <v>2.7216378581809586E-2</v>
      </c>
      <c r="G58" s="5">
        <f>('Clean Data'!G58/'Clean Data'!G54)-1</f>
        <v>4.1130785655020929E-2</v>
      </c>
    </row>
    <row r="59" spans="1:7" x14ac:dyDescent="0.2">
      <c r="A59" s="3" t="str">
        <f>'Clean Data'!A59</f>
        <v>2014-04-01</v>
      </c>
      <c r="B59" s="5">
        <f>('Clean Data'!B59/'Clean Data'!B55)-1</f>
        <v>5.0828386492161037E-2</v>
      </c>
      <c r="C59" s="5">
        <f>('Clean Data'!C59/'Clean Data'!C55)-1</f>
        <v>5.4560515889501282E-2</v>
      </c>
      <c r="D59" s="5">
        <f>('Clean Data'!D59/'Clean Data'!D55)-1</f>
        <v>-2.1698412650739574E-2</v>
      </c>
      <c r="E59" s="5">
        <f>('Clean Data'!E59/'Clean Data'!E55)-1</f>
        <v>4.5520787216216219E-2</v>
      </c>
      <c r="F59" s="5">
        <f>('Clean Data'!F59/'Clean Data'!F55)-1</f>
        <v>1.6289180090770294E-2</v>
      </c>
      <c r="G59" s="5">
        <f>('Clean Data'!G59/'Clean Data'!G55)-1</f>
        <v>2.3575066216422469E-2</v>
      </c>
    </row>
    <row r="60" spans="1:7" x14ac:dyDescent="0.2">
      <c r="A60" s="3" t="str">
        <f>'Clean Data'!A60</f>
        <v>2014-07-01</v>
      </c>
      <c r="B60" s="5">
        <f>('Clean Data'!B60/'Clean Data'!B56)-1</f>
        <v>4.9599205834831794E-2</v>
      </c>
      <c r="C60" s="5">
        <f>('Clean Data'!C60/'Clean Data'!C56)-1</f>
        <v>5.1776696112286746E-2</v>
      </c>
      <c r="D60" s="5">
        <f>('Clean Data'!D60/'Clean Data'!D56)-1</f>
        <v>4.7644521709959697E-3</v>
      </c>
      <c r="E60" s="5">
        <f>('Clean Data'!E60/'Clean Data'!E56)-1</f>
        <v>4.4535392572269794E-2</v>
      </c>
      <c r="F60" s="5">
        <f>('Clean Data'!F60/'Clean Data'!F56)-1</f>
        <v>3.1181643446649421E-2</v>
      </c>
      <c r="G60" s="5">
        <f>('Clean Data'!G60/'Clean Data'!G56)-1</f>
        <v>-2.2789266328659963E-4</v>
      </c>
    </row>
    <row r="61" spans="1:7" x14ac:dyDescent="0.2">
      <c r="A61" s="3" t="str">
        <f>'Clean Data'!A61</f>
        <v>2014-10-01</v>
      </c>
      <c r="B61" s="5">
        <f>('Clean Data'!B61/'Clean Data'!B57)-1</f>
        <v>4.8223151073783166E-2</v>
      </c>
      <c r="C61" s="5">
        <f>('Clean Data'!C61/'Clean Data'!C57)-1</f>
        <v>5.038261372275521E-2</v>
      </c>
      <c r="D61" s="5">
        <f>('Clean Data'!D61/'Clean Data'!D57)-1</f>
        <v>1.0116448011460388E-2</v>
      </c>
      <c r="E61" s="5">
        <f>('Clean Data'!E61/'Clean Data'!E57)-1</f>
        <v>4.6522442108489326E-2</v>
      </c>
      <c r="F61" s="5">
        <f>('Clean Data'!F61/'Clean Data'!F57)-1</f>
        <v>-2.9585260987933903E-2</v>
      </c>
      <c r="G61" s="5">
        <f>('Clean Data'!G61/'Clean Data'!G57)-1</f>
        <v>2.0906974428007041E-2</v>
      </c>
    </row>
    <row r="62" spans="1:7" x14ac:dyDescent="0.2">
      <c r="A62" s="3" t="str">
        <f>'Clean Data'!A62</f>
        <v>2015-01-01</v>
      </c>
      <c r="B62" s="5">
        <f>('Clean Data'!B62/'Clean Data'!B58)-1</f>
        <v>4.8585121272243903E-2</v>
      </c>
      <c r="C62" s="5">
        <f>('Clean Data'!C62/'Clean Data'!C58)-1</f>
        <v>4.8420376189798997E-2</v>
      </c>
      <c r="D62" s="5">
        <f>('Clean Data'!D62/'Clean Data'!D58)-1</f>
        <v>2.9233323467570571E-2</v>
      </c>
      <c r="E62" s="5">
        <f>('Clean Data'!E62/'Clean Data'!E58)-1</f>
        <v>4.6820670842746548E-2</v>
      </c>
      <c r="F62" s="5">
        <f>('Clean Data'!F62/'Clean Data'!F58)-1</f>
        <v>-6.9028952603576998E-3</v>
      </c>
      <c r="G62" s="5">
        <f>('Clean Data'!G62/'Clean Data'!G58)-1</f>
        <v>-4.0069621515877674E-2</v>
      </c>
    </row>
    <row r="63" spans="1:7" x14ac:dyDescent="0.2">
      <c r="A63" s="3" t="str">
        <f>'Clean Data'!A63</f>
        <v>2015-04-01</v>
      </c>
      <c r="B63" s="5">
        <f>('Clean Data'!B63/'Clean Data'!B59)-1</f>
        <v>4.7904777127668607E-2</v>
      </c>
      <c r="C63" s="5">
        <f>('Clean Data'!C63/'Clean Data'!C59)-1</f>
        <v>4.7314410530794326E-2</v>
      </c>
      <c r="D63" s="5">
        <f>('Clean Data'!D63/'Clean Data'!D59)-1</f>
        <v>3.2225977544476425E-2</v>
      </c>
      <c r="E63" s="5">
        <f>('Clean Data'!E63/'Clean Data'!E59)-1</f>
        <v>4.766481899040631E-2</v>
      </c>
      <c r="F63" s="5">
        <f>('Clean Data'!F63/'Clean Data'!F59)-1</f>
        <v>-1.5812408660059174E-2</v>
      </c>
      <c r="G63" s="5">
        <f>('Clean Data'!G63/'Clean Data'!G59)-1</f>
        <v>-6.1531024477555207E-2</v>
      </c>
    </row>
    <row r="64" spans="1:7" x14ac:dyDescent="0.2">
      <c r="A64" s="3" t="str">
        <f>'Clean Data'!A64</f>
        <v>2015-07-01</v>
      </c>
      <c r="B64" s="5">
        <f>('Clean Data'!B64/'Clean Data'!B60)-1</f>
        <v>4.8540984444943147E-2</v>
      </c>
      <c r="C64" s="5">
        <f>('Clean Data'!C64/'Clean Data'!C60)-1</f>
        <v>4.887634431879806E-2</v>
      </c>
      <c r="D64" s="5">
        <f>('Clean Data'!D64/'Clean Data'!D60)-1</f>
        <v>7.3873444906773944E-2</v>
      </c>
      <c r="E64" s="5">
        <f>('Clean Data'!E64/'Clean Data'!E60)-1</f>
        <v>5.1758696688836814E-2</v>
      </c>
      <c r="F64" s="5">
        <f>('Clean Data'!F64/'Clean Data'!F60)-1</f>
        <v>-1.7657399168471311E-2</v>
      </c>
      <c r="G64" s="5">
        <f>('Clean Data'!G64/'Clean Data'!G60)-1</f>
        <v>-5.9005137989396106E-2</v>
      </c>
    </row>
    <row r="65" spans="1:7" x14ac:dyDescent="0.2">
      <c r="A65" s="3" t="str">
        <f>'Clean Data'!A65</f>
        <v>2015-10-01</v>
      </c>
      <c r="B65" s="5">
        <f>('Clean Data'!B65/'Clean Data'!B61)-1</f>
        <v>4.9993783529440172E-2</v>
      </c>
      <c r="C65" s="5">
        <f>('Clean Data'!C65/'Clean Data'!C61)-1</f>
        <v>4.9029111604888209E-2</v>
      </c>
      <c r="D65" s="5">
        <f>('Clean Data'!D65/'Clean Data'!D61)-1</f>
        <v>7.6544624306047249E-2</v>
      </c>
      <c r="E65" s="5">
        <f>('Clean Data'!E65/'Clean Data'!E61)-1</f>
        <v>5.4001418838007575E-2</v>
      </c>
      <c r="F65" s="5">
        <f>('Clean Data'!F65/'Clean Data'!F61)-1</f>
        <v>-4.4524952754948943E-2</v>
      </c>
      <c r="G65" s="5">
        <f>('Clean Data'!G65/'Clean Data'!G61)-1</f>
        <v>-8.9456444696373483E-2</v>
      </c>
    </row>
    <row r="66" spans="1:7" x14ac:dyDescent="0.2">
      <c r="A66" s="3" t="str">
        <f>'Clean Data'!A66</f>
        <v>2016-01-01</v>
      </c>
      <c r="B66" s="5">
        <f>('Clean Data'!B66/'Clean Data'!B62)-1</f>
        <v>4.9600180441222719E-2</v>
      </c>
      <c r="C66" s="5">
        <f>('Clean Data'!C66/'Clean Data'!C62)-1</f>
        <v>5.0035658842606079E-2</v>
      </c>
      <c r="D66" s="5">
        <f>('Clean Data'!D66/'Clean Data'!D62)-1</f>
        <v>2.6200616363111662E-2</v>
      </c>
      <c r="E66" s="5">
        <f>('Clean Data'!E66/'Clean Data'!E62)-1</f>
        <v>4.9292152411590129E-2</v>
      </c>
      <c r="F66" s="5">
        <f>('Clean Data'!F66/'Clean Data'!F62)-1</f>
        <v>-4.3037123413273259E-2</v>
      </c>
      <c r="G66" s="5">
        <f>('Clean Data'!G66/'Clean Data'!G62)-1</f>
        <v>-5.8780389632172914E-2</v>
      </c>
    </row>
    <row r="67" spans="1:7" x14ac:dyDescent="0.2">
      <c r="A67" s="3" t="str">
        <f>'Clean Data'!A67</f>
        <v>2016-04-01</v>
      </c>
      <c r="B67" s="5">
        <f>('Clean Data'!B67/'Clean Data'!B63)-1</f>
        <v>5.0949884287116554E-2</v>
      </c>
      <c r="C67" s="5">
        <f>('Clean Data'!C67/'Clean Data'!C63)-1</f>
        <v>5.0937249550826236E-2</v>
      </c>
      <c r="D67" s="5">
        <f>('Clean Data'!D67/'Clean Data'!D63)-1</f>
        <v>5.2675567114242261E-2</v>
      </c>
      <c r="E67" s="5">
        <f>('Clean Data'!E67/'Clean Data'!E63)-1</f>
        <v>4.4949664242825316E-2</v>
      </c>
      <c r="F67" s="5">
        <f>('Clean Data'!F67/'Clean Data'!F63)-1</f>
        <v>-1.1615805054049799E-2</v>
      </c>
      <c r="G67" s="5">
        <f>('Clean Data'!G67/'Clean Data'!G63)-1</f>
        <v>-1.8863479915461112E-2</v>
      </c>
    </row>
    <row r="68" spans="1:7" x14ac:dyDescent="0.2">
      <c r="A68" s="3" t="str">
        <f>'Clean Data'!A68</f>
        <v>2016-07-01</v>
      </c>
      <c r="B68" s="5">
        <f>('Clean Data'!B68/'Clean Data'!B64)-1</f>
        <v>5.0766245494307416E-2</v>
      </c>
      <c r="C68" s="5">
        <f>('Clean Data'!C68/'Clean Data'!C64)-1</f>
        <v>5.045156080707125E-2</v>
      </c>
      <c r="D68" s="5">
        <f>('Clean Data'!D68/'Clean Data'!D64)-1</f>
        <v>-3.8564879190217227E-2</v>
      </c>
      <c r="E68" s="5">
        <f>('Clean Data'!E68/'Clean Data'!E64)-1</f>
        <v>4.2278648440198241E-2</v>
      </c>
      <c r="F68" s="5">
        <f>('Clean Data'!F68/'Clean Data'!F64)-1</f>
        <v>-5.0624784811511336E-2</v>
      </c>
      <c r="G68" s="5">
        <f>('Clean Data'!G68/'Clean Data'!G64)-1</f>
        <v>-4.0940666724123331E-2</v>
      </c>
    </row>
    <row r="69" spans="1:7" x14ac:dyDescent="0.2">
      <c r="A69" s="3" t="str">
        <f>'Clean Data'!A69</f>
        <v>2016-10-01</v>
      </c>
      <c r="B69" s="5">
        <f>('Clean Data'!B69/'Clean Data'!B65)-1</f>
        <v>5.0001059158545802E-2</v>
      </c>
      <c r="C69" s="5">
        <f>('Clean Data'!C69/'Clean Data'!C65)-1</f>
        <v>5.0354430019484031E-2</v>
      </c>
      <c r="D69" s="5">
        <f>('Clean Data'!D69/'Clean Data'!D65)-1</f>
        <v>-4.1486858523665848E-2</v>
      </c>
      <c r="E69" s="5">
        <f>('Clean Data'!E69/'Clean Data'!E65)-1</f>
        <v>4.2552514608095615E-2</v>
      </c>
      <c r="F69" s="5">
        <f>('Clean Data'!F69/'Clean Data'!F65)-1</f>
        <v>4.1116486374026318E-2</v>
      </c>
      <c r="G69" s="5">
        <f>('Clean Data'!G69/'Clean Data'!G65)-1</f>
        <v>2.4733582512717067E-2</v>
      </c>
    </row>
    <row r="70" spans="1:7" x14ac:dyDescent="0.2">
      <c r="A70" s="3" t="str">
        <f>'Clean Data'!A70</f>
        <v>2017-01-01</v>
      </c>
      <c r="B70" s="5">
        <f>('Clean Data'!B70/'Clean Data'!B66)-1</f>
        <v>5.0800406916517549E-2</v>
      </c>
      <c r="C70" s="5">
        <f>('Clean Data'!C70/'Clean Data'!C66)-1</f>
        <v>5.0168542786355852E-2</v>
      </c>
      <c r="D70" s="5">
        <f>('Clean Data'!D70/'Clean Data'!D66)-1</f>
        <v>2.0438701623766153E-2</v>
      </c>
      <c r="E70" s="5">
        <f>('Clean Data'!E70/'Clean Data'!E66)-1</f>
        <v>4.8707058811400472E-2</v>
      </c>
      <c r="F70" s="5">
        <f>('Clean Data'!F70/'Clean Data'!F66)-1</f>
        <v>7.5179194747702738E-2</v>
      </c>
      <c r="G70" s="5">
        <f>('Clean Data'!G70/'Clean Data'!G66)-1</f>
        <v>4.5169517614969346E-2</v>
      </c>
    </row>
    <row r="71" spans="1:7" x14ac:dyDescent="0.2">
      <c r="A71" s="3" t="str">
        <f>'Clean Data'!A71</f>
        <v>2017-04-01</v>
      </c>
      <c r="B71" s="5">
        <f>('Clean Data'!B71/'Clean Data'!B67)-1</f>
        <v>5.0067092599198615E-2</v>
      </c>
      <c r="C71" s="5">
        <f>('Clean Data'!C71/'Clean Data'!C67)-1</f>
        <v>4.9463318142797918E-2</v>
      </c>
      <c r="D71" s="5">
        <f>('Clean Data'!D71/'Clean Data'!D67)-1</f>
        <v>-1.7462073538468403E-2</v>
      </c>
      <c r="E71" s="5">
        <f>('Clean Data'!E71/'Clean Data'!E67)-1</f>
        <v>5.8691566686116303E-2</v>
      </c>
      <c r="F71" s="5">
        <f>('Clean Data'!F71/'Clean Data'!F67)-1</f>
        <v>5.1850821767665201E-2</v>
      </c>
      <c r="G71" s="5">
        <f>('Clean Data'!G71/'Clean Data'!G67)-1</f>
        <v>3.148084048199884E-2</v>
      </c>
    </row>
    <row r="72" spans="1:7" x14ac:dyDescent="0.2">
      <c r="A72" s="3" t="str">
        <f>'Clean Data'!A72</f>
        <v>2017-07-01</v>
      </c>
      <c r="B72" s="5">
        <f>('Clean Data'!B72/'Clean Data'!B68)-1</f>
        <v>5.0608123101172353E-2</v>
      </c>
      <c r="C72" s="5">
        <f>('Clean Data'!C72/'Clean Data'!C68)-1</f>
        <v>4.9750798985712885E-2</v>
      </c>
      <c r="D72" s="5">
        <f>('Clean Data'!D72/'Clean Data'!D68)-1</f>
        <v>3.6146197332174612E-2</v>
      </c>
      <c r="E72" s="5">
        <f>('Clean Data'!E72/'Clean Data'!E68)-1</f>
        <v>6.6443940867525919E-2</v>
      </c>
      <c r="F72" s="5">
        <f>('Clean Data'!F72/'Clean Data'!F68)-1</f>
        <v>0.14082776640423034</v>
      </c>
      <c r="G72" s="5">
        <f>('Clean Data'!G72/'Clean Data'!G68)-1</f>
        <v>0.1299833121097913</v>
      </c>
    </row>
    <row r="73" spans="1:7" x14ac:dyDescent="0.2">
      <c r="A73" s="3" t="str">
        <f>'Clean Data'!A73</f>
        <v>2017-10-01</v>
      </c>
      <c r="B73" s="5">
        <f>('Clean Data'!B73/'Clean Data'!B69)-1</f>
        <v>5.1303421558811957E-2</v>
      </c>
      <c r="C73" s="5">
        <f>('Clean Data'!C73/'Clean Data'!C69)-1</f>
        <v>4.9886213291220338E-2</v>
      </c>
      <c r="D73" s="5">
        <f>('Clean Data'!D73/'Clean Data'!D69)-1</f>
        <v>4.7268137602158422E-2</v>
      </c>
      <c r="E73" s="5">
        <f>('Clean Data'!E73/'Clean Data'!E69)-1</f>
        <v>7.1907111550665093E-2</v>
      </c>
      <c r="F73" s="5">
        <f>('Clean Data'!F73/'Clean Data'!F69)-1</f>
        <v>8.947854267694888E-2</v>
      </c>
      <c r="G73" s="5">
        <f>('Clean Data'!G73/'Clean Data'!G69)-1</f>
        <v>0.1166109301121514</v>
      </c>
    </row>
    <row r="74" spans="1:7" x14ac:dyDescent="0.2">
      <c r="A74" s="3" t="str">
        <f>'Clean Data'!A74</f>
        <v>2018-01-01</v>
      </c>
      <c r="B74" s="5">
        <f>('Clean Data'!B74/'Clean Data'!B70)-1</f>
        <v>5.1247778540453925E-2</v>
      </c>
      <c r="C74" s="5">
        <f>('Clean Data'!C74/'Clean Data'!C70)-1</f>
        <v>4.9815717857350839E-2</v>
      </c>
      <c r="D74" s="5">
        <f>('Clean Data'!D74/'Clean Data'!D70)-1</f>
        <v>2.7320940164850649E-2</v>
      </c>
      <c r="E74" s="5">
        <f>('Clean Data'!E74/'Clean Data'!E70)-1</f>
        <v>7.3637486927884632E-2</v>
      </c>
      <c r="F74" s="5">
        <f>('Clean Data'!F74/'Clean Data'!F70)-1</f>
        <v>8.004526542695567E-2</v>
      </c>
      <c r="G74" s="5">
        <f>('Clean Data'!G74/'Clean Data'!G70)-1</f>
        <v>0.15289412037475736</v>
      </c>
    </row>
    <row r="75" spans="1:7" x14ac:dyDescent="0.2">
      <c r="A75" s="3" t="str">
        <f>'Clean Data'!A75</f>
        <v>2018-04-01</v>
      </c>
      <c r="B75" s="5">
        <f>('Clean Data'!B75/'Clean Data'!B71)-1</f>
        <v>5.1916410716585926E-2</v>
      </c>
      <c r="C75" s="5">
        <f>('Clean Data'!C75/'Clean Data'!C71)-1</f>
        <v>5.1442572688179311E-2</v>
      </c>
      <c r="D75" s="5">
        <f>('Clean Data'!D75/'Clean Data'!D71)-1</f>
        <v>5.4442516310241329E-2</v>
      </c>
      <c r="E75" s="5">
        <f>('Clean Data'!E75/'Clean Data'!E71)-1</f>
        <v>6.8903667853530637E-2</v>
      </c>
      <c r="F75" s="5">
        <f>('Clean Data'!F75/'Clean Data'!F71)-1</f>
        <v>9.1263341913218277E-2</v>
      </c>
      <c r="G75" s="5">
        <f>('Clean Data'!G75/'Clean Data'!G71)-1</f>
        <v>0.16567631405763605</v>
      </c>
    </row>
    <row r="76" spans="1:7" x14ac:dyDescent="0.2">
      <c r="A76" s="3" t="str">
        <f>'Clean Data'!A76</f>
        <v>2018-07-01</v>
      </c>
      <c r="B76" s="5">
        <f>('Clean Data'!B76/'Clean Data'!B72)-1</f>
        <v>5.1895573696353559E-2</v>
      </c>
      <c r="C76" s="5">
        <f>('Clean Data'!C76/'Clean Data'!C72)-1</f>
        <v>5.1037847731458141E-2</v>
      </c>
      <c r="D76" s="5">
        <f>('Clean Data'!D76/'Clean Data'!D72)-1</f>
        <v>6.0834658135780373E-2</v>
      </c>
      <c r="E76" s="5">
        <f>('Clean Data'!E76/'Clean Data'!E72)-1</f>
        <v>6.5119507082883832E-2</v>
      </c>
      <c r="F76" s="5">
        <f>('Clean Data'!F76/'Clean Data'!F72)-1</f>
        <v>5.0165677931012675E-2</v>
      </c>
      <c r="G76" s="5">
        <f>('Clean Data'!G76/'Clean Data'!G72)-1</f>
        <v>0.10944777802333627</v>
      </c>
    </row>
    <row r="77" spans="1:7" x14ac:dyDescent="0.2">
      <c r="A77" s="3" t="str">
        <f>'Clean Data'!A77</f>
        <v>2018-10-01</v>
      </c>
      <c r="B77" s="5">
        <f>('Clean Data'!B77/'Clean Data'!B73)-1</f>
        <v>5.1899974489353129E-2</v>
      </c>
      <c r="C77" s="5">
        <f>('Clean Data'!C77/'Clean Data'!C73)-1</f>
        <v>5.3121741866140715E-2</v>
      </c>
      <c r="D77" s="5">
        <f>('Clean Data'!D77/'Clean Data'!D73)-1</f>
        <v>5.0248046475719788E-2</v>
      </c>
      <c r="E77" s="5">
        <f>('Clean Data'!E77/'Clean Data'!E73)-1</f>
        <v>5.978099336995224E-2</v>
      </c>
      <c r="F77" s="5">
        <f>('Clean Data'!F77/'Clean Data'!F73)-1</f>
        <v>4.1175442737249712E-2</v>
      </c>
      <c r="G77" s="5">
        <f>('Clean Data'!G77/'Clean Data'!G73)-1</f>
        <v>6.3645561181935317E-2</v>
      </c>
    </row>
    <row r="78" spans="1:7" x14ac:dyDescent="0.2">
      <c r="A78" s="3" t="str">
        <f>'Clean Data'!A78</f>
        <v>2019-01-01</v>
      </c>
      <c r="B78" s="5">
        <f>('Clean Data'!B78/'Clean Data'!B74)-1</f>
        <v>5.1741841475496209E-2</v>
      </c>
      <c r="C78" s="5">
        <f>('Clean Data'!C78/'Clean Data'!C74)-1</f>
        <v>5.577406689786546E-2</v>
      </c>
      <c r="D78" s="5">
        <f>('Clean Data'!D78/'Clean Data'!D74)-1</f>
        <v>4.5546171388614942E-2</v>
      </c>
      <c r="E78" s="5">
        <f>('Clean Data'!E78/'Clean Data'!E74)-1</f>
        <v>5.433626667767455E-2</v>
      </c>
      <c r="F78" s="5">
        <f>('Clean Data'!F78/'Clean Data'!F74)-1</f>
        <v>6.1194777036919223E-3</v>
      </c>
      <c r="G78" s="5">
        <f>('Clean Data'!G78/'Clean Data'!G74)-1</f>
        <v>-3.4838341821655128E-2</v>
      </c>
    </row>
    <row r="79" spans="1:7" x14ac:dyDescent="0.2">
      <c r="A79" s="3" t="str">
        <f>'Clean Data'!A79</f>
        <v>2019-04-01</v>
      </c>
      <c r="B79" s="5">
        <f>('Clean Data'!B79/'Clean Data'!B75)-1</f>
        <v>5.1262756885777971E-2</v>
      </c>
      <c r="C79" s="5">
        <f>('Clean Data'!C79/'Clean Data'!C75)-1</f>
        <v>5.6528039659274887E-2</v>
      </c>
      <c r="D79" s="5">
        <f>('Clean Data'!D79/'Clean Data'!D75)-1</f>
        <v>7.7620806535306341E-2</v>
      </c>
      <c r="E79" s="5">
        <f>('Clean Data'!E79/'Clean Data'!E75)-1</f>
        <v>4.9280660906632079E-2</v>
      </c>
      <c r="F79" s="5">
        <f>('Clean Data'!F79/'Clean Data'!F75)-1</f>
        <v>-1.3800853140371938E-2</v>
      </c>
      <c r="G79" s="5">
        <f>('Clean Data'!G79/'Clean Data'!G75)-1</f>
        <v>-7.1652255159547984E-2</v>
      </c>
    </row>
    <row r="80" spans="1:7" x14ac:dyDescent="0.2">
      <c r="A80" s="3" t="str">
        <f>'Clean Data'!A80</f>
        <v>2019-07-01</v>
      </c>
      <c r="B80" s="5">
        <f>('Clean Data'!B80/'Clean Data'!B76)-1</f>
        <v>5.0075661776288527E-2</v>
      </c>
      <c r="C80" s="5">
        <f>('Clean Data'!C80/'Clean Data'!C76)-1</f>
        <v>4.8544568925330767E-2</v>
      </c>
      <c r="D80" s="5">
        <f>('Clean Data'!D80/'Clean Data'!D76)-1</f>
        <v>2.9972093829635504E-3</v>
      </c>
      <c r="E80" s="5">
        <f>('Clean Data'!E80/'Clean Data'!E76)-1</f>
        <v>4.3230202664984452E-2</v>
      </c>
      <c r="F80" s="5">
        <f>('Clean Data'!F80/'Clean Data'!F76)-1</f>
        <v>-1.2449884999112815E-3</v>
      </c>
      <c r="G80" s="5">
        <f>('Clean Data'!G80/'Clean Data'!G76)-1</f>
        <v>-8.4382800381005763E-2</v>
      </c>
    </row>
    <row r="81" spans="1:7" x14ac:dyDescent="0.2">
      <c r="A81" s="3" t="str">
        <f>'Clean Data'!A81</f>
        <v>2019-10-01</v>
      </c>
      <c r="B81" s="5">
        <f>('Clean Data'!B81/'Clean Data'!B77)-1</f>
        <v>4.7774296260667537E-2</v>
      </c>
      <c r="C81" s="5">
        <f>('Clean Data'!C81/'Clean Data'!C77)-1</f>
        <v>4.5827559838041765E-2</v>
      </c>
      <c r="D81" s="5">
        <f>('Clean Data'!D81/'Clean Data'!D77)-1</f>
        <v>6.0386309182769438E-3</v>
      </c>
      <c r="E81" s="5">
        <f>('Clean Data'!E81/'Clean Data'!E77)-1</f>
        <v>3.1752920840087295E-2</v>
      </c>
      <c r="F81" s="5">
        <f>('Clean Data'!F81/'Clean Data'!F77)-1</f>
        <v>-1.0015478940988309E-2</v>
      </c>
      <c r="G81" s="5">
        <f>('Clean Data'!G81/'Clean Data'!G77)-1</f>
        <v>-9.3561162890220984E-2</v>
      </c>
    </row>
    <row r="82" spans="1:7" x14ac:dyDescent="0.2">
      <c r="A82" s="3" t="str">
        <f>'Clean Data'!A82</f>
        <v>2020-01-01</v>
      </c>
      <c r="B82" s="5">
        <f>('Clean Data'!B82/'Clean Data'!B78)-1</f>
        <v>2.8404722661327986E-2</v>
      </c>
      <c r="C82" s="5">
        <f>('Clean Data'!C82/'Clean Data'!C78)-1</f>
        <v>2.8420855149176028E-2</v>
      </c>
      <c r="D82" s="5">
        <f>('Clean Data'!D82/'Clean Data'!D78)-1</f>
        <v>3.2757302022400125E-2</v>
      </c>
      <c r="E82" s="5">
        <f>('Clean Data'!E82/'Clean Data'!E78)-1</f>
        <v>1.1625038402565346E-2</v>
      </c>
      <c r="F82" s="5">
        <f>('Clean Data'!F82/'Clean Data'!F78)-1</f>
        <v>-6.7428607823695197E-3</v>
      </c>
      <c r="G82" s="5">
        <f>('Clean Data'!G82/'Clean Data'!G78)-1</f>
        <v>-0.10291398727154355</v>
      </c>
    </row>
    <row r="83" spans="1:7" x14ac:dyDescent="0.2">
      <c r="A83" s="3" t="str">
        <f>'Clean Data'!A83</f>
        <v>2020-04-01</v>
      </c>
      <c r="B83" s="5">
        <f>('Clean Data'!B83/'Clean Data'!B79)-1</f>
        <v>-5.3419519185591846E-2</v>
      </c>
      <c r="C83" s="5">
        <f>('Clean Data'!C83/'Clean Data'!C79)-1</f>
        <v>-5.2752994098753336E-2</v>
      </c>
      <c r="D83" s="5">
        <f>('Clean Data'!D83/'Clean Data'!D79)-1</f>
        <v>-6.2987270774874093E-2</v>
      </c>
      <c r="E83" s="5">
        <f>('Clean Data'!E83/'Clean Data'!E79)-1</f>
        <v>-8.7491421732920793E-2</v>
      </c>
      <c r="F83" s="5">
        <f>('Clean Data'!F83/'Clean Data'!F79)-1</f>
        <v>-0.1529209392697779</v>
      </c>
      <c r="G83" s="5">
        <f>('Clean Data'!G83/'Clean Data'!G79)-1</f>
        <v>-0.24537463849741903</v>
      </c>
    </row>
    <row r="84" spans="1:7" x14ac:dyDescent="0.2">
      <c r="A84" s="3" t="str">
        <f>'Clean Data'!A84</f>
        <v>2020-07-01</v>
      </c>
      <c r="B84" s="5">
        <f>('Clean Data'!B84/'Clean Data'!B80)-1</f>
        <v>-3.396941067288417E-2</v>
      </c>
      <c r="C84" s="5">
        <f>('Clean Data'!C84/'Clean Data'!C80)-1</f>
        <v>-3.9673014146296204E-2</v>
      </c>
      <c r="D84" s="5">
        <f>('Clean Data'!D84/'Clean Data'!D80)-1</f>
        <v>9.5088897349928647E-2</v>
      </c>
      <c r="E84" s="5">
        <f>('Clean Data'!E84/'Clean Data'!E80)-1</f>
        <v>-6.8389488101457285E-2</v>
      </c>
      <c r="F84" s="5">
        <f>('Clean Data'!F84/'Clean Data'!F80)-1</f>
        <v>-0.11598074034574812</v>
      </c>
      <c r="G84" s="5">
        <f>('Clean Data'!G84/'Clean Data'!G80)-1</f>
        <v>-0.21414372762594369</v>
      </c>
    </row>
    <row r="85" spans="1:7" x14ac:dyDescent="0.2">
      <c r="A85" s="3" t="str">
        <f>'Clean Data'!A85</f>
        <v>2020-10-01</v>
      </c>
      <c r="B85" s="5">
        <f>('Clean Data'!B85/'Clean Data'!B81)-1</f>
        <v>-2.2835023338475757E-2</v>
      </c>
      <c r="C85" s="5">
        <f>('Clean Data'!C85/'Clean Data'!C81)-1</f>
        <v>-4.1570669122812598E-2</v>
      </c>
      <c r="D85" s="5">
        <f>('Clean Data'!D85/'Clean Data'!D81)-1</f>
        <v>2.4511979599742384E-2</v>
      </c>
      <c r="E85" s="5">
        <f>('Clean Data'!E85/'Clean Data'!E81)-1</f>
        <v>-5.3424093586728061E-2</v>
      </c>
      <c r="F85" s="5">
        <f>('Clean Data'!F85/'Clean Data'!F81)-1</f>
        <v>-6.132356001197814E-2</v>
      </c>
      <c r="G85" s="5">
        <f>('Clean Data'!G85/'Clean Data'!G81)-1</f>
        <v>-0.14268688545590125</v>
      </c>
    </row>
    <row r="86" spans="1:7" x14ac:dyDescent="0.2">
      <c r="A86" s="3" t="str">
        <f>'Clean Data'!A86</f>
        <v>2021-01-01</v>
      </c>
      <c r="B86" s="5">
        <f>('Clean Data'!B86/'Clean Data'!B82)-1</f>
        <v>-6.6452171504850499E-3</v>
      </c>
      <c r="C86" s="5">
        <f>('Clean Data'!C86/'Clean Data'!C82)-1</f>
        <v>-2.8965760068901392E-2</v>
      </c>
      <c r="D86" s="5">
        <f>('Clean Data'!D86/'Clean Data'!D82)-1</f>
        <v>2.5141076771676207E-2</v>
      </c>
      <c r="E86" s="5">
        <f>('Clean Data'!E86/'Clean Data'!E82)-1</f>
        <v>-2.6646189753504301E-2</v>
      </c>
      <c r="F86" s="5">
        <f>('Clean Data'!F86/'Clean Data'!F82)-1</f>
        <v>2.3815796095516761E-2</v>
      </c>
      <c r="G86" s="5">
        <f>('Clean Data'!G86/'Clean Data'!G82)-1</f>
        <v>3.2014589046784669E-2</v>
      </c>
    </row>
    <row r="87" spans="1:7" x14ac:dyDescent="0.2">
      <c r="A87" s="3" t="str">
        <f>'Clean Data'!A87</f>
        <v>2021-04-01</v>
      </c>
      <c r="B87" s="5">
        <f>('Clean Data'!B87/'Clean Data'!B83)-1</f>
        <v>7.1617219574561242E-2</v>
      </c>
      <c r="C87" s="5">
        <f>('Clean Data'!C87/'Clean Data'!C83)-1</f>
        <v>4.9350192148658545E-2</v>
      </c>
      <c r="D87" s="5">
        <f>('Clean Data'!D87/'Clean Data'!D83)-1</f>
        <v>8.376012401822619E-2</v>
      </c>
      <c r="E87" s="5">
        <f>('Clean Data'!E87/'Clean Data'!E83)-1</f>
        <v>7.9527933440721732E-2</v>
      </c>
      <c r="F87" s="5">
        <f>('Clean Data'!F87/'Clean Data'!F83)-1</f>
        <v>0.26300621111262834</v>
      </c>
      <c r="G87" s="5">
        <f>('Clean Data'!G87/'Clean Data'!G83)-1</f>
        <v>0.3284748455611306</v>
      </c>
    </row>
    <row r="88" spans="1:7" x14ac:dyDescent="0.2">
      <c r="A88" s="3" t="str">
        <f>'Clean Data'!A88</f>
        <v>2021-07-01</v>
      </c>
      <c r="B88" s="5">
        <f>('Clean Data'!B88/'Clean Data'!B84)-1</f>
        <v>4.0424525469274553E-2</v>
      </c>
      <c r="C88" s="5">
        <f>('Clean Data'!C88/'Clean Data'!C84)-1</f>
        <v>2.1835838528604601E-2</v>
      </c>
      <c r="D88" s="5">
        <f>('Clean Data'!D88/'Clean Data'!D84)-1</f>
        <v>9.4292308960535198E-3</v>
      </c>
      <c r="E88" s="5">
        <f>('Clean Data'!E88/'Clean Data'!E84)-1</f>
        <v>5.4145713784847782E-2</v>
      </c>
      <c r="F88" s="5">
        <f>('Clean Data'!F88/'Clean Data'!F84)-1</f>
        <v>0.22348221095653376</v>
      </c>
      <c r="G88" s="5">
        <f>('Clean Data'!G88/'Clean Data'!G84)-1</f>
        <v>0.31327427129178043</v>
      </c>
    </row>
    <row r="89" spans="1:7" x14ac:dyDescent="0.2">
      <c r="A89" s="3" t="str">
        <f>'Clean Data'!A89</f>
        <v>2021-10-01</v>
      </c>
      <c r="B89" s="5">
        <f>('Clean Data'!B89/'Clean Data'!B85)-1</f>
        <v>4.5345608346552435E-2</v>
      </c>
      <c r="C89" s="5">
        <f>('Clean Data'!C89/'Clean Data'!C85)-1</f>
        <v>4.0845659869638951E-2</v>
      </c>
      <c r="D89" s="5">
        <f>('Clean Data'!D89/'Clean Data'!D85)-1</f>
        <v>5.5689320139022502E-2</v>
      </c>
      <c r="E89" s="5">
        <f>('Clean Data'!E89/'Clean Data'!E85)-1</f>
        <v>5.0394179435000686E-2</v>
      </c>
      <c r="F89" s="5">
        <f>('Clean Data'!F89/'Clean Data'!F85)-1</f>
        <v>0.22897956544767406</v>
      </c>
      <c r="G89" s="5">
        <f>('Clean Data'!G89/'Clean Data'!G85)-1</f>
        <v>0.35386975710018231</v>
      </c>
    </row>
    <row r="90" spans="1:7" x14ac:dyDescent="0.2">
      <c r="A90" s="3" t="str">
        <f>'Clean Data'!A90</f>
        <v>2022-01-01</v>
      </c>
      <c r="B90" s="5">
        <f>('Clean Data'!B90/'Clean Data'!B86)-1</f>
        <v>4.6914371700186974E-2</v>
      </c>
      <c r="C90" s="5">
        <f>('Clean Data'!C90/'Clean Data'!C86)-1</f>
        <v>4.166295357271621E-2</v>
      </c>
      <c r="D90" s="5">
        <f>('Clean Data'!D90/'Clean Data'!D86)-1</f>
        <v>-6.8114724810172111E-2</v>
      </c>
      <c r="E90" s="5">
        <f>('Clean Data'!E90/'Clean Data'!E86)-1</f>
        <v>4.1937236292020508E-2</v>
      </c>
      <c r="F90" s="5">
        <f>('Clean Data'!F90/'Clean Data'!F86)-1</f>
        <v>0.16460083311435136</v>
      </c>
      <c r="G90" s="5">
        <f>('Clean Data'!G90/'Clean Data'!G86)-1</f>
        <v>0.19837649473578889</v>
      </c>
    </row>
    <row r="91" spans="1:7" x14ac:dyDescent="0.2">
      <c r="A91" s="3" t="str">
        <f>'Clean Data'!A91</f>
        <v>2022-04-01</v>
      </c>
      <c r="B91" s="5">
        <f>('Clean Data'!B91/'Clean Data'!B87)-1</f>
        <v>5.3676184254740855E-2</v>
      </c>
      <c r="C91" s="5">
        <f>('Clean Data'!C91/'Clean Data'!C87)-1</f>
        <v>4.5028118631387004E-2</v>
      </c>
      <c r="D91" s="5">
        <f>('Clean Data'!D91/'Clean Data'!D87)-1</f>
        <v>-4.7775375403277032E-2</v>
      </c>
      <c r="E91" s="5">
        <f>('Clean Data'!E91/'Clean Data'!E87)-1</f>
        <v>3.7717467960744155E-2</v>
      </c>
      <c r="F91" s="5">
        <f>('Clean Data'!F91/'Clean Data'!F87)-1</f>
        <v>0.18805147737479722</v>
      </c>
      <c r="G91" s="5">
        <f>('Clean Data'!G91/'Clean Data'!G87)-1</f>
        <v>0.17142211200463242</v>
      </c>
    </row>
    <row r="92" spans="1:7" x14ac:dyDescent="0.2">
      <c r="A92" s="3" t="str">
        <f>'Clean Data'!A92</f>
        <v>2022-07-01</v>
      </c>
      <c r="B92" s="5">
        <f>('Clean Data'!B92/'Clean Data'!B88)-1</f>
        <v>6.3280199565156403E-2</v>
      </c>
      <c r="C92" s="5">
        <f>('Clean Data'!C92/'Clean Data'!C88)-1</f>
        <v>6.244992299154406E-2</v>
      </c>
      <c r="D92" s="5">
        <f>('Clean Data'!D92/'Clean Data'!D88)-1</f>
        <v>-1.962503607720234E-2</v>
      </c>
      <c r="E92" s="5">
        <f>('Clean Data'!E92/'Clean Data'!E88)-1</f>
        <v>4.0765164919162489E-2</v>
      </c>
      <c r="F92" s="5">
        <f>('Clean Data'!F92/'Clean Data'!F88)-1</f>
        <v>0.18591080598860987</v>
      </c>
      <c r="G92" s="5">
        <f>('Clean Data'!G92/'Clean Data'!G88)-1</f>
        <v>0.20052359187110702</v>
      </c>
    </row>
    <row r="93" spans="1:7" x14ac:dyDescent="0.2">
      <c r="A93" s="3" t="str">
        <f>'Clean Data'!A93</f>
        <v>2022-10-01</v>
      </c>
      <c r="B93" s="5">
        <f>('Clean Data'!B93/'Clean Data'!B89)-1</f>
        <v>4.8496138876785055E-2</v>
      </c>
      <c r="C93" s="5">
        <f>('Clean Data'!C93/'Clean Data'!C89)-1</f>
        <v>4.9122728607297272E-2</v>
      </c>
      <c r="D93" s="5">
        <f>('Clean Data'!D93/'Clean Data'!D89)-1</f>
        <v>-4.2258394311433967E-2</v>
      </c>
      <c r="E93" s="5">
        <f>('Clean Data'!E93/'Clean Data'!E89)-1</f>
        <v>3.4483265269022123E-2</v>
      </c>
      <c r="F93" s="5">
        <f>('Clean Data'!F93/'Clean Data'!F89)-1</f>
        <v>0.11439728916007641</v>
      </c>
      <c r="G93" s="5">
        <f>('Clean Data'!G93/'Clean Data'!G89)-1</f>
        <v>4.4210507389594866E-2</v>
      </c>
    </row>
    <row r="94" spans="1:7" x14ac:dyDescent="0.2">
      <c r="A94" s="3" t="str">
        <f>'Clean Data'!A94</f>
        <v>2023-01-01</v>
      </c>
      <c r="B94" s="5">
        <f>('Clean Data'!B94/'Clean Data'!B90)-1</f>
        <v>4.888018600215549E-2</v>
      </c>
      <c r="C94" s="5">
        <f>('Clean Data'!C94/'Clean Data'!C90)-1</f>
        <v>4.6889652162832585E-2</v>
      </c>
      <c r="D94" s="5">
        <f>('Clean Data'!D94/'Clean Data'!D90)-1</f>
        <v>2.536162765367922E-2</v>
      </c>
      <c r="E94" s="5">
        <f>('Clean Data'!E94/'Clean Data'!E90)-1</f>
        <v>3.0323959195736272E-2</v>
      </c>
      <c r="F94" s="5">
        <f>('Clean Data'!F94/'Clean Data'!F90)-1</f>
        <v>9.6414823010502859E-2</v>
      </c>
      <c r="G94" s="5">
        <f>('Clean Data'!G94/'Clean Data'!G90)-1</f>
        <v>4.0913808411019881E-2</v>
      </c>
    </row>
    <row r="95" spans="1:7" x14ac:dyDescent="0.2">
      <c r="A95" s="3" t="str">
        <f>'Clean Data'!A95</f>
        <v>2023-04-01</v>
      </c>
      <c r="B95" s="5">
        <f>('Clean Data'!B95/'Clean Data'!B91)-1</f>
        <v>5.0380753937691036E-2</v>
      </c>
      <c r="C95" s="5">
        <f>('Clean Data'!C95/'Clean Data'!C91)-1</f>
        <v>4.8979123368329658E-2</v>
      </c>
      <c r="D95" s="5">
        <f>('Clean Data'!D95/'Clean Data'!D91)-1</f>
        <v>0.10121779605110026</v>
      </c>
      <c r="E95" s="5">
        <f>('Clean Data'!E95/'Clean Data'!E91)-1</f>
        <v>3.679286661366965E-2</v>
      </c>
      <c r="F95" s="5">
        <f>('Clean Data'!F95/'Clean Data'!F91)-1</f>
        <v>-3.4627348332061381E-3</v>
      </c>
      <c r="G95" s="5">
        <f>('Clean Data'!G95/'Clean Data'!G91)-1</f>
        <v>-1.5852402214701633E-2</v>
      </c>
    </row>
    <row r="96" spans="1:7" x14ac:dyDescent="0.2">
      <c r="A96" s="3" t="str">
        <f>'Clean Data'!A96</f>
        <v>2023-07-01</v>
      </c>
      <c r="B96" s="5">
        <f>('Clean Data'!B96/'Clean Data'!B92)-1</f>
        <v>5.1542234303787682E-2</v>
      </c>
      <c r="C96" s="5">
        <f>('Clean Data'!C96/'Clean Data'!C92)-1</f>
        <v>5.2675561672368199E-2</v>
      </c>
      <c r="D96" s="5">
        <f>('Clean Data'!D96/'Clean Data'!D92)-1</f>
        <v>-3.2264663319968134E-2</v>
      </c>
      <c r="E96" s="5">
        <f>('Clean Data'!E96/'Clean Data'!E92)-1</f>
        <v>3.9601938805937431E-2</v>
      </c>
      <c r="F96" s="5">
        <f>('Clean Data'!F96/'Clean Data'!F92)-1</f>
        <v>-2.5494162526039754E-2</v>
      </c>
      <c r="G96" s="5">
        <f>('Clean Data'!G96/'Clean Data'!G92)-1</f>
        <v>-7.2032005485636263E-2</v>
      </c>
    </row>
    <row r="97" spans="1:7" x14ac:dyDescent="0.2">
      <c r="A97" s="3" t="str">
        <f>'Clean Data'!A97</f>
        <v>2023-10-01</v>
      </c>
      <c r="B97" s="5">
        <f>('Clean Data'!B97/'Clean Data'!B93)-1</f>
        <v>5.1104427200828306E-2</v>
      </c>
      <c r="C97" s="5">
        <f>('Clean Data'!C97/'Clean Data'!C93)-1</f>
        <v>4.9130140537260392E-2</v>
      </c>
      <c r="D97" s="5">
        <f>('Clean Data'!D97/'Clean Data'!D93)-1</f>
        <v>3.0187043525939705E-2</v>
      </c>
      <c r="E97" s="5">
        <f>('Clean Data'!E97/'Clean Data'!E93)-1</f>
        <v>4.356193982069545E-2</v>
      </c>
      <c r="F97" s="5">
        <f>('Clean Data'!F97/'Clean Data'!F93)-1</f>
        <v>7.859184867528457E-3</v>
      </c>
      <c r="G97" s="5">
        <f>('Clean Data'!G97/'Clean Data'!G93)-1</f>
        <v>2.0371233846492309E-3</v>
      </c>
    </row>
    <row r="98" spans="1:7" x14ac:dyDescent="0.2">
      <c r="A98" s="3" t="str">
        <f>'Clean Data'!A98</f>
        <v>2024-01-01</v>
      </c>
      <c r="B98" s="5">
        <f>('Clean Data'!B98/'Clean Data'!B94)-1</f>
        <v>5.1767089796608268E-2</v>
      </c>
      <c r="C98" s="5">
        <f>('Clean Data'!C98/'Clean Data'!C94)-1</f>
        <v>5.3393103691778743E-2</v>
      </c>
      <c r="D98" s="5">
        <f>('Clean Data'!D98/'Clean Data'!D94)-1</f>
        <v>0.1827515973577345</v>
      </c>
      <c r="E98" s="5">
        <f>('Clean Data'!E98/'Clean Data'!E94)-1</f>
        <v>4.8192728180968647E-2</v>
      </c>
      <c r="F98" s="5">
        <f>('Clean Data'!F98/'Clean Data'!F94)-1</f>
        <v>1.7226822369045713E-2</v>
      </c>
      <c r="G98" s="5">
        <f>('Clean Data'!G98/'Clean Data'!G94)-1</f>
        <v>3.0987301684220592E-2</v>
      </c>
    </row>
    <row r="99" spans="1:7" x14ac:dyDescent="0.2">
      <c r="A99" s="3" t="str">
        <f>'Clean Data'!A99</f>
        <v>2024-04-01</v>
      </c>
      <c r="B99" s="5">
        <f>('Clean Data'!B99/'Clean Data'!B95)-1</f>
        <v>4.9986258547304319E-2</v>
      </c>
      <c r="C99" s="5">
        <f>('Clean Data'!C99/'Clean Data'!C95)-1</f>
        <v>4.9641218798176734E-2</v>
      </c>
      <c r="D99" s="5">
        <f>('Clean Data'!D99/'Clean Data'!D95)-1</f>
        <v>1.1720301380838016E-2</v>
      </c>
      <c r="E99" s="5">
        <f>('Clean Data'!E99/'Clean Data'!E95)-1</f>
        <v>4.476954218005158E-2</v>
      </c>
      <c r="F99" s="5">
        <f>('Clean Data'!F99/'Clean Data'!F95)-1</f>
        <v>7.436679964799997E-2</v>
      </c>
      <c r="G99" s="5">
        <f>('Clean Data'!G99/'Clean Data'!G95)-1</f>
        <v>6.5745014258338896E-2</v>
      </c>
    </row>
    <row r="100" spans="1:7" x14ac:dyDescent="0.2">
      <c r="A100" s="3" t="str">
        <f>'Clean Data'!A100</f>
        <v>2024-07-01</v>
      </c>
      <c r="B100" s="5">
        <f>('Clean Data'!B100/'Clean Data'!B96)-1</f>
        <v>4.9891096778796884E-2</v>
      </c>
      <c r="C100" s="5">
        <f>('Clean Data'!C100/'Clean Data'!C96)-1</f>
        <v>5.0825192728906288E-2</v>
      </c>
      <c r="D100" s="5">
        <f>('Clean Data'!D100/'Clean Data'!D96)-1</f>
        <v>4.1834538456797299E-2</v>
      </c>
      <c r="E100" s="5">
        <f>('Clean Data'!E100/'Clean Data'!E96)-1</f>
        <v>4.6622897851742673E-2</v>
      </c>
      <c r="F100" s="5">
        <f>('Clean Data'!F100/'Clean Data'!F96)-1</f>
        <v>9.0846689763630195E-2</v>
      </c>
      <c r="G100" s="5">
        <f>('Clean Data'!G100/'Clean Data'!G96)-1</f>
        <v>0.1284158691903492</v>
      </c>
    </row>
    <row r="101" spans="1:7" x14ac:dyDescent="0.2">
      <c r="A101" s="3" t="str">
        <f>'Clean Data'!A101</f>
        <v>2024-10-01</v>
      </c>
      <c r="B101" s="5">
        <f>('Clean Data'!B101/'Clean Data'!B97)-1</f>
        <v>4.9698420987111858E-2</v>
      </c>
      <c r="C101" s="5">
        <f>('Clean Data'!C101/'Clean Data'!C97)-1</f>
        <v>5.0622977703175254E-2</v>
      </c>
      <c r="D101" s="5">
        <f>('Clean Data'!D101/'Clean Data'!D97)-1</f>
        <v>3.6029052593257394E-2</v>
      </c>
      <c r="E101" s="5">
        <f>('Clean Data'!E101/'Clean Data'!E97)-1</f>
        <v>4.4994479708938551E-2</v>
      </c>
      <c r="F101" s="5">
        <f>('Clean Data'!F101/'Clean Data'!F97)-1</f>
        <v>9.2361748959102208E-2</v>
      </c>
      <c r="G101" s="5">
        <f>('Clean Data'!G101/'Clean Data'!G97)-1</f>
        <v>0.10181224639145481</v>
      </c>
    </row>
    <row r="102" spans="1:7" x14ac:dyDescent="0.2">
      <c r="A102" s="3" t="str">
        <f>'Clean Data'!A102</f>
        <v>2025-01-01</v>
      </c>
      <c r="B102" s="5">
        <f>('Clean Data'!B102/'Clean Data'!B98)-1</f>
        <v>4.8980886637527199E-2</v>
      </c>
      <c r="C102" s="5">
        <f>('Clean Data'!C102/'Clean Data'!C98)-1</f>
        <v>4.8033896087574579E-2</v>
      </c>
      <c r="D102" s="5">
        <f>('Clean Data'!D102/'Clean Data'!D98)-1</f>
        <v>-2.2848061286222299E-2</v>
      </c>
      <c r="E102" s="5">
        <f>('Clean Data'!E102/'Clean Data'!E98)-1</f>
        <v>4.2724087169324632E-2</v>
      </c>
      <c r="F102" s="5">
        <f>('Clean Data'!F102/'Clean Data'!F98)-1</f>
        <v>8.4670781867667744E-2</v>
      </c>
      <c r="G102" s="5">
        <f>('Clean Data'!G102/'Clean Data'!G98)-1</f>
        <v>5.318835835062119E-2</v>
      </c>
    </row>
    <row r="103" spans="1:7" x14ac:dyDescent="0.2">
      <c r="A103" s="3" t="str">
        <f>'Clean Data'!A103</f>
        <v>2025-04-01</v>
      </c>
      <c r="B103" s="5">
        <f>('Clean Data'!B103/'Clean Data'!B99)-1</f>
        <v>5.0946469724410637E-2</v>
      </c>
      <c r="C103" s="5">
        <f>('Clean Data'!C103/'Clean Data'!C99)-1</f>
        <v>5.0705870672006936E-2</v>
      </c>
      <c r="D103" s="5">
        <f>('Clean Data'!D103/'Clean Data'!D99)-1</f>
        <v>-1</v>
      </c>
      <c r="E103" s="5">
        <f>('Clean Data'!E103/'Clean Data'!E99)-1</f>
        <v>5.1185872364550855E-2</v>
      </c>
      <c r="F103" s="5">
        <f>('Clean Data'!F103/'Clean Data'!F99)-1</f>
        <v>8.6126094805004882E-2</v>
      </c>
      <c r="G103" s="5">
        <f>('Clean Data'!G103/'Clean Data'!G99)-1</f>
        <v>8.6430499737555344E-2</v>
      </c>
    </row>
    <row r="104" spans="1:7" x14ac:dyDescent="0.2">
      <c r="A104" s="3" t="str">
        <f>'Clean Data'!A104</f>
        <v>2025-07-01</v>
      </c>
      <c r="B104" s="5">
        <f>('Clean Data'!B104/'Clean Data'!B100)-1</f>
        <v>5.1358036149567576E-2</v>
      </c>
      <c r="C104" s="5">
        <f>('Clean Data'!C104/'Clean Data'!C100)-1</f>
        <v>4.9685383988327114E-2</v>
      </c>
      <c r="D104" s="5">
        <f>('Clean Data'!D104/'Clean Data'!D100)-1</f>
        <v>-1</v>
      </c>
      <c r="E104" s="5">
        <f>('Clean Data'!E104/'Clean Data'!E100)-1</f>
        <v>5.2923302219724411E-2</v>
      </c>
      <c r="F104" s="5">
        <f>('Clean Data'!F104/'Clean Data'!F100)-1</f>
        <v>7.5626051606481948E-2</v>
      </c>
      <c r="G104" s="5">
        <f>('Clean Data'!G104/'Clean Data'!G100)-1</f>
        <v>1.827913909730583E-2</v>
      </c>
    </row>
    <row r="105" spans="1:7" x14ac:dyDescent="0.2">
      <c r="A105" s="3" t="str">
        <f>'Clean Data'!A105</f>
        <v>2025-10-01</v>
      </c>
      <c r="B105" s="5">
        <f>('Clean Data'!B105/'Clean Data'!B101)-1</f>
        <v>5.2964358056340144E-2</v>
      </c>
      <c r="C105" s="5">
        <f>('Clean Data'!C105/'Clean Data'!C101)-1</f>
        <v>5.0837484067745686E-2</v>
      </c>
      <c r="D105" s="5">
        <f>('Clean Data'!D105/'Clean Data'!D101)-1</f>
        <v>-1</v>
      </c>
      <c r="E105" s="5">
        <f>('Clean Data'!E105/'Clean Data'!E101)-1</f>
        <v>5.6556146503891735E-2</v>
      </c>
      <c r="F105" s="5">
        <f>('Clean Data'!F105/'Clean Data'!F101)-1</f>
        <v>3.6886763107424336E-2</v>
      </c>
      <c r="G105" s="5">
        <f>('Clean Data'!G105/'Clean Data'!G101)-1</f>
        <v>3.5132416418509393E-2</v>
      </c>
    </row>
    <row r="106" spans="1:7" x14ac:dyDescent="0.2">
      <c r="A106" s="3" t="str">
        <f>'Clean Data'!A106</f>
        <v>2026-01-01</v>
      </c>
      <c r="B106" s="5">
        <f>('Clean Data'!B106/'Clean Data'!B102)-1</f>
        <v>5.4625100893606282E-2</v>
      </c>
      <c r="C106" s="5">
        <f>('Clean Data'!C106/'Clean Data'!C102)-1</f>
        <v>5.2679241995167159E-2</v>
      </c>
      <c r="D106" s="5">
        <f>('Clean Data'!D106/'Clean Data'!D102)-1</f>
        <v>-1</v>
      </c>
      <c r="E106" s="5">
        <f>('Clean Data'!E106/'Clean Data'!E102)-1</f>
        <v>6.0591299111525387E-2</v>
      </c>
      <c r="F106" s="5">
        <f>('Clean Data'!F106/'Clean Data'!F102)-1</f>
        <v>1.3712451652544866E-2</v>
      </c>
      <c r="G106" s="5">
        <f>('Clean Data'!G106/'Clean Data'!G102)-1</f>
        <v>5.193603634519306E-2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"/>
  <sheetViews>
    <sheetView zoomScaleNormal="100" workbookViewId="0">
      <selection activeCell="J35" sqref="J35"/>
    </sheetView>
  </sheetViews>
  <sheetFormatPr baseColWidth="10" defaultColWidth="8.6640625" defaultRowHeight="15" customHeight="1" x14ac:dyDescent="0.2"/>
  <cols>
    <col min="1" max="1" width="10.5" bestFit="1" customWidth="1"/>
    <col min="2" max="2" width="24" bestFit="1" customWidth="1"/>
    <col min="3" max="3" width="28.6640625" bestFit="1" customWidth="1"/>
    <col min="4" max="4" width="15.33203125" bestFit="1" customWidth="1"/>
    <col min="5" max="5" width="12" bestFit="1" customWidth="1"/>
    <col min="6" max="6" width="12.3320312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3" t="str">
        <f>'Clean Data'!A2</f>
        <v>2000-01-01</v>
      </c>
      <c r="B2" s="5">
        <f>'Clean Data'!C2/'Clean Data'!B2</f>
        <v>0.61907053315028049</v>
      </c>
      <c r="C2" s="5">
        <f>'Clean Data'!D2/'Clean Data'!B2</f>
        <v>6.9506848151748291E-2</v>
      </c>
      <c r="D2" s="5">
        <f>'Clean Data'!E2/'Clean Data'!B2</f>
        <v>0.24297440323440042</v>
      </c>
      <c r="E2" s="5">
        <f>'Clean Data'!F2/'Clean Data'!B2</f>
        <v>0.17583272892050919</v>
      </c>
      <c r="F2" s="5">
        <f>'Clean Data'!G2/'Clean Data'!B2</f>
        <v>0.14638108164949262</v>
      </c>
    </row>
    <row r="3" spans="1:6" x14ac:dyDescent="0.2">
      <c r="A3" s="3" t="str">
        <f>'Clean Data'!A3</f>
        <v>2000-04-01</v>
      </c>
      <c r="B3" s="5">
        <f>'Clean Data'!C3/'Clean Data'!B3</f>
        <v>0.63409752408078879</v>
      </c>
      <c r="C3" s="5">
        <f>'Clean Data'!D3/'Clean Data'!B3</f>
        <v>7.0823307666989216E-2</v>
      </c>
      <c r="D3" s="5">
        <f>'Clean Data'!E3/'Clean Data'!B3</f>
        <v>0.26620386876156749</v>
      </c>
      <c r="E3" s="5">
        <f>'Clean Data'!F3/'Clean Data'!B3</f>
        <v>0.20422337062774612</v>
      </c>
      <c r="F3" s="5">
        <f>'Clean Data'!G3/'Clean Data'!B3</f>
        <v>0.15976900344906247</v>
      </c>
    </row>
    <row r="4" spans="1:6" x14ac:dyDescent="0.2">
      <c r="A4" s="3" t="str">
        <f>'Clean Data'!A4</f>
        <v>2000-07-01</v>
      </c>
      <c r="B4" s="5">
        <f>'Clean Data'!C4/'Clean Data'!B4</f>
        <v>0.6178031885176527</v>
      </c>
      <c r="C4" s="5">
        <f>'Clean Data'!D4/'Clean Data'!B4</f>
        <v>6.973728693857556E-2</v>
      </c>
      <c r="D4" s="5">
        <f>'Clean Data'!E4/'Clean Data'!B4</f>
        <v>0.26577724263755698</v>
      </c>
      <c r="E4" s="5">
        <f>'Clean Data'!F4/'Clean Data'!B4</f>
        <v>0.2057690277509546</v>
      </c>
      <c r="F4" s="5">
        <f>'Clean Data'!G4/'Clean Data'!B4</f>
        <v>0.18626939916061722</v>
      </c>
    </row>
    <row r="5" spans="1:6" x14ac:dyDescent="0.2">
      <c r="A5" s="3" t="str">
        <f>'Clean Data'!A5</f>
        <v>2000-10-01</v>
      </c>
      <c r="B5" s="5">
        <f>'Clean Data'!C5/'Clean Data'!B5</f>
        <v>0.60628272343067469</v>
      </c>
      <c r="C5" s="5">
        <f>'Clean Data'!D5/'Clean Data'!B5</f>
        <v>6.882905970229472E-2</v>
      </c>
      <c r="D5" s="5">
        <f>'Clean Data'!E5/'Clean Data'!B5</f>
        <v>0.26733352480615924</v>
      </c>
      <c r="E5" s="5">
        <f>'Clean Data'!F5/'Clean Data'!B5</f>
        <v>0.20620414705947679</v>
      </c>
      <c r="F5" s="5">
        <f>'Clean Data'!G5/'Clean Data'!B5</f>
        <v>0.22347017772041175</v>
      </c>
    </row>
    <row r="6" spans="1:6" x14ac:dyDescent="0.2">
      <c r="A6" s="3" t="str">
        <f>'Clean Data'!A6</f>
        <v>2001-01-01</v>
      </c>
      <c r="B6" s="5">
        <f>'Clean Data'!C6/'Clean Data'!B6</f>
        <v>0.61572231727963345</v>
      </c>
      <c r="C6" s="5">
        <f>'Clean Data'!D6/'Clean Data'!B6</f>
        <v>7.0850215259865845E-2</v>
      </c>
      <c r="D6" s="5">
        <f>'Clean Data'!E6/'Clean Data'!B6</f>
        <v>0.27735149490496064</v>
      </c>
      <c r="E6" s="5">
        <f>'Clean Data'!F6/'Clean Data'!B6</f>
        <v>0.20109654801288013</v>
      </c>
      <c r="F6" s="5">
        <f>'Clean Data'!G6/'Clean Data'!B6</f>
        <v>0.19596745720193925</v>
      </c>
    </row>
    <row r="7" spans="1:6" x14ac:dyDescent="0.2">
      <c r="A7" s="3" t="str">
        <f>'Clean Data'!A7</f>
        <v>2001-04-01</v>
      </c>
      <c r="B7" s="5">
        <f>'Clean Data'!C7/'Clean Data'!B7</f>
        <v>0.61562252565614251</v>
      </c>
      <c r="C7" s="5">
        <f>'Clean Data'!D7/'Clean Data'!B7</f>
        <v>7.1430669919522127E-2</v>
      </c>
      <c r="D7" s="5">
        <f>'Clean Data'!E7/'Clean Data'!B7</f>
        <v>0.2798848925073954</v>
      </c>
      <c r="E7" s="5">
        <f>'Clean Data'!F7/'Clean Data'!B7</f>
        <v>0.19988920121842801</v>
      </c>
      <c r="F7" s="5">
        <f>'Clean Data'!G7/'Clean Data'!B7</f>
        <v>0.19934302438546053</v>
      </c>
    </row>
    <row r="8" spans="1:6" x14ac:dyDescent="0.2">
      <c r="A8" s="3" t="str">
        <f>'Clean Data'!A8</f>
        <v>2001-07-01</v>
      </c>
      <c r="B8" s="5">
        <f>'Clean Data'!C8/'Clean Data'!B8</f>
        <v>0.6222724536215205</v>
      </c>
      <c r="C8" s="5">
        <f>'Clean Data'!D8/'Clean Data'!B8</f>
        <v>7.3017379460651705E-2</v>
      </c>
      <c r="D8" s="5">
        <f>'Clean Data'!E8/'Clean Data'!B8</f>
        <v>0.25682889969268285</v>
      </c>
      <c r="E8" s="5">
        <f>'Clean Data'!F8/'Clean Data'!B8</f>
        <v>0.18828915966386819</v>
      </c>
      <c r="F8" s="5">
        <f>'Clean Data'!G8/'Clean Data'!B8</f>
        <v>0.17044827531054177</v>
      </c>
    </row>
    <row r="9" spans="1:6" x14ac:dyDescent="0.2">
      <c r="A9" s="3" t="str">
        <f>'Clean Data'!A9</f>
        <v>2001-10-01</v>
      </c>
      <c r="B9" s="5">
        <f>'Clean Data'!C9/'Clean Data'!B9</f>
        <v>0.61930254893499537</v>
      </c>
      <c r="C9" s="5">
        <f>'Clean Data'!D9/'Clean Data'!B9</f>
        <v>7.4057479151492453E-2</v>
      </c>
      <c r="D9" s="5">
        <f>'Clean Data'!E9/'Clean Data'!B9</f>
        <v>0.25751311865394477</v>
      </c>
      <c r="E9" s="5">
        <f>'Clean Data'!F9/'Clean Data'!B9</f>
        <v>0.18057667746175848</v>
      </c>
      <c r="F9" s="5">
        <f>'Clean Data'!G9/'Clean Data'!B9</f>
        <v>0.15668415155343224</v>
      </c>
    </row>
    <row r="10" spans="1:6" x14ac:dyDescent="0.2">
      <c r="A10" s="3" t="str">
        <f>'Clean Data'!A10</f>
        <v>2002-01-01</v>
      </c>
      <c r="B10" s="5">
        <f>'Clean Data'!C10/'Clean Data'!B10</f>
        <v>0.6182110432977358</v>
      </c>
      <c r="C10" s="5">
        <f>'Clean Data'!D10/'Clean Data'!B10</f>
        <v>7.6042250869260933E-2</v>
      </c>
      <c r="D10" s="5">
        <f>'Clean Data'!E10/'Clean Data'!B10</f>
        <v>0.26056730231028868</v>
      </c>
      <c r="E10" s="5">
        <f>'Clean Data'!F10/'Clean Data'!B10</f>
        <v>0.18385290795543155</v>
      </c>
      <c r="F10" s="5">
        <f>'Clean Data'!G10/'Clean Data'!B10</f>
        <v>0.16236136120694195</v>
      </c>
    </row>
    <row r="11" spans="1:6" x14ac:dyDescent="0.2">
      <c r="A11" s="3" t="str">
        <f>'Clean Data'!A11</f>
        <v>2002-04-01</v>
      </c>
      <c r="B11" s="5">
        <f>'Clean Data'!C11/'Clean Data'!B11</f>
        <v>0.61574078207388583</v>
      </c>
      <c r="C11" s="5">
        <f>'Clean Data'!D11/'Clean Data'!B11</f>
        <v>7.7352844559562789E-2</v>
      </c>
      <c r="D11" s="5">
        <f>'Clean Data'!E11/'Clean Data'!B11</f>
        <v>0.26559144176891758</v>
      </c>
      <c r="E11" s="5">
        <f>'Clean Data'!F11/'Clean Data'!B11</f>
        <v>0.18066887610195045</v>
      </c>
      <c r="F11" s="5">
        <f>'Clean Data'!G11/'Clean Data'!B11</f>
        <v>0.16169563595018369</v>
      </c>
    </row>
    <row r="12" spans="1:6" x14ac:dyDescent="0.2">
      <c r="A12" s="3" t="str">
        <f>'Clean Data'!A12</f>
        <v>2002-07-01</v>
      </c>
      <c r="B12" s="5">
        <f>'Clean Data'!C12/'Clean Data'!B12</f>
        <v>0.61224814131419392</v>
      </c>
      <c r="C12" s="5">
        <f>'Clean Data'!D12/'Clean Data'!B12</f>
        <v>7.9225671130406725E-2</v>
      </c>
      <c r="D12" s="5">
        <f>'Clean Data'!E12/'Clean Data'!B12</f>
        <v>0.27055676903064807</v>
      </c>
      <c r="E12" s="5">
        <f>'Clean Data'!F12/'Clean Data'!B12</f>
        <v>0.18303748782168813</v>
      </c>
      <c r="F12" s="5">
        <f>'Clean Data'!G12/'Clean Data'!B12</f>
        <v>0.1666948724979678</v>
      </c>
    </row>
    <row r="13" spans="1:6" x14ac:dyDescent="0.2">
      <c r="A13" s="3" t="str">
        <f>'Clean Data'!A13</f>
        <v>2002-10-01</v>
      </c>
      <c r="B13" s="5">
        <f>'Clean Data'!C13/'Clean Data'!B13</f>
        <v>0.61120609623801903</v>
      </c>
      <c r="C13" s="5">
        <f>'Clean Data'!D13/'Clean Data'!B13</f>
        <v>8.0210032651392621E-2</v>
      </c>
      <c r="D13" s="5">
        <f>'Clean Data'!E13/'Clean Data'!B13</f>
        <v>0.27629805042171457</v>
      </c>
      <c r="E13" s="5">
        <f>'Clean Data'!F13/'Clean Data'!B13</f>
        <v>0.17998964215942123</v>
      </c>
      <c r="F13" s="5">
        <f>'Clean Data'!G13/'Clean Data'!B13</f>
        <v>0.17056877784643054</v>
      </c>
    </row>
    <row r="14" spans="1:6" x14ac:dyDescent="0.2">
      <c r="A14" s="3" t="str">
        <f>'Clean Data'!A14</f>
        <v>2003-01-01</v>
      </c>
      <c r="B14" s="5">
        <f>'Clean Data'!C14/'Clean Data'!B14</f>
        <v>0.60844044722560264</v>
      </c>
      <c r="C14" s="5">
        <f>'Clean Data'!D14/'Clean Data'!B14</f>
        <v>8.0012856496348178E-2</v>
      </c>
      <c r="D14" s="5">
        <f>'Clean Data'!E14/'Clean Data'!B14</f>
        <v>0.2524516175216196</v>
      </c>
      <c r="E14" s="5">
        <f>'Clean Data'!F14/'Clean Data'!B14</f>
        <v>0.18651604618156775</v>
      </c>
      <c r="F14" s="5">
        <f>'Clean Data'!G14/'Clean Data'!B14</f>
        <v>0.1622409452308993</v>
      </c>
    </row>
    <row r="15" spans="1:6" x14ac:dyDescent="0.2">
      <c r="A15" s="3" t="str">
        <f>'Clean Data'!A15</f>
        <v>2003-04-01</v>
      </c>
      <c r="B15" s="5">
        <f>'Clean Data'!C15/'Clean Data'!B15</f>
        <v>0.60753738443919036</v>
      </c>
      <c r="C15" s="5">
        <f>'Clean Data'!D15/'Clean Data'!B15</f>
        <v>8.1613025445125928E-2</v>
      </c>
      <c r="D15" s="5">
        <f>'Clean Data'!E15/'Clean Data'!B15</f>
        <v>0.25424568233147199</v>
      </c>
      <c r="E15" s="5">
        <f>'Clean Data'!F15/'Clean Data'!B15</f>
        <v>0.18900543947774959</v>
      </c>
      <c r="F15" s="5">
        <f>'Clean Data'!G15/'Clean Data'!B15</f>
        <v>0.15385580045428887</v>
      </c>
    </row>
    <row r="16" spans="1:6" x14ac:dyDescent="0.2">
      <c r="A16" s="3" t="str">
        <f>'Clean Data'!A16</f>
        <v>2003-07-01</v>
      </c>
      <c r="B16" s="5">
        <f>'Clean Data'!C16/'Clean Data'!B16</f>
        <v>0.60743766502113128</v>
      </c>
      <c r="C16" s="5">
        <f>'Clean Data'!D16/'Clean Data'!B16</f>
        <v>8.3129041491268013E-2</v>
      </c>
      <c r="D16" s="5">
        <f>'Clean Data'!E16/'Clean Data'!B16</f>
        <v>0.25926278059739183</v>
      </c>
      <c r="E16" s="5">
        <f>'Clean Data'!F16/'Clean Data'!B16</f>
        <v>0.17926291376472389</v>
      </c>
      <c r="F16" s="5">
        <f>'Clean Data'!G16/'Clean Data'!B16</f>
        <v>0.15952441301808287</v>
      </c>
    </row>
    <row r="17" spans="1:6" x14ac:dyDescent="0.2">
      <c r="A17" s="3" t="str">
        <f>'Clean Data'!A17</f>
        <v>2003-10-01</v>
      </c>
      <c r="B17" s="5">
        <f>'Clean Data'!C17/'Clean Data'!B17</f>
        <v>0.61295940502151403</v>
      </c>
      <c r="C17" s="5">
        <f>'Clean Data'!D17/'Clean Data'!B17</f>
        <v>8.3784491614360024E-2</v>
      </c>
      <c r="D17" s="5">
        <f>'Clean Data'!E17/'Clean Data'!B17</f>
        <v>0.26433893562510818</v>
      </c>
      <c r="E17" s="5">
        <f>'Clean Data'!F17/'Clean Data'!B17</f>
        <v>0.18053320557846625</v>
      </c>
      <c r="F17" s="5">
        <f>'Clean Data'!G17/'Clean Data'!B17</f>
        <v>0.1654946456484315</v>
      </c>
    </row>
    <row r="18" spans="1:6" x14ac:dyDescent="0.2">
      <c r="A18" s="3" t="str">
        <f>'Clean Data'!A18</f>
        <v>2004-01-01</v>
      </c>
      <c r="B18" s="5">
        <f>'Clean Data'!C18/'Clean Data'!B18</f>
        <v>0.61530366660510372</v>
      </c>
      <c r="C18" s="5">
        <f>'Clean Data'!D18/'Clean Data'!B18</f>
        <v>8.4550348526642893E-2</v>
      </c>
      <c r="D18" s="5">
        <f>'Clean Data'!E18/'Clean Data'!B18</f>
        <v>0.26936322402517154</v>
      </c>
      <c r="E18" s="5">
        <f>'Clean Data'!F18/'Clean Data'!B18</f>
        <v>0.18456097812526046</v>
      </c>
      <c r="F18" s="5">
        <f>'Clean Data'!G18/'Clean Data'!B18</f>
        <v>0.1830214549169373</v>
      </c>
    </row>
    <row r="19" spans="1:6" x14ac:dyDescent="0.2">
      <c r="A19" s="3" t="str">
        <f>'Clean Data'!A19</f>
        <v>2004-04-01</v>
      </c>
      <c r="B19" s="5">
        <f>'Clean Data'!C19/'Clean Data'!B19</f>
        <v>0.61231319249052174</v>
      </c>
      <c r="C19" s="5">
        <f>'Clean Data'!D19/'Clean Data'!B19</f>
        <v>8.2986362265479285E-2</v>
      </c>
      <c r="D19" s="5">
        <f>'Clean Data'!E19/'Clean Data'!B19</f>
        <v>0.27477992716222355</v>
      </c>
      <c r="E19" s="5">
        <f>'Clean Data'!F19/'Clean Data'!B19</f>
        <v>0.19137024339188846</v>
      </c>
      <c r="F19" s="5">
        <f>'Clean Data'!G19/'Clean Data'!B19</f>
        <v>0.18606223152537729</v>
      </c>
    </row>
    <row r="20" spans="1:6" x14ac:dyDescent="0.2">
      <c r="A20" s="3" t="str">
        <f>'Clean Data'!A20</f>
        <v>2004-07-01</v>
      </c>
      <c r="B20" s="5">
        <f>'Clean Data'!C20/'Clean Data'!B20</f>
        <v>0.60942117071544044</v>
      </c>
      <c r="C20" s="5">
        <f>'Clean Data'!D20/'Clean Data'!B20</f>
        <v>8.0613559263979145E-2</v>
      </c>
      <c r="D20" s="5">
        <f>'Clean Data'!E20/'Clean Data'!B20</f>
        <v>0.29094939804622</v>
      </c>
      <c r="E20" s="5">
        <f>'Clean Data'!F20/'Clean Data'!B20</f>
        <v>0.2096048015125774</v>
      </c>
      <c r="F20" s="5">
        <f>'Clean Data'!G20/'Clean Data'!B20</f>
        <v>0.19980412099941167</v>
      </c>
    </row>
    <row r="21" spans="1:6" x14ac:dyDescent="0.2">
      <c r="A21" s="3" t="str">
        <f>'Clean Data'!A21</f>
        <v>2004-10-01</v>
      </c>
      <c r="B21" s="5">
        <f>'Clean Data'!C21/'Clean Data'!B21</f>
        <v>0.59841668411647531</v>
      </c>
      <c r="C21" s="5">
        <f>'Clean Data'!D21/'Clean Data'!B21</f>
        <v>7.7407941482846646E-2</v>
      </c>
      <c r="D21" s="5">
        <f>'Clean Data'!E21/'Clean Data'!B21</f>
        <v>0.28953073372747984</v>
      </c>
      <c r="E21" s="5">
        <f>'Clean Data'!F21/'Clean Data'!B21</f>
        <v>0.20841920936266414</v>
      </c>
      <c r="F21" s="5">
        <f>'Clean Data'!G21/'Clean Data'!B21</f>
        <v>0.20368203197137355</v>
      </c>
    </row>
    <row r="22" spans="1:6" x14ac:dyDescent="0.2">
      <c r="A22" s="3" t="str">
        <f>'Clean Data'!A22</f>
        <v>2005-01-01</v>
      </c>
      <c r="B22" s="5">
        <f>'Clean Data'!C22/'Clean Data'!B22</f>
        <v>0.59999401402684072</v>
      </c>
      <c r="C22" s="5">
        <f>'Clean Data'!D22/'Clean Data'!B22</f>
        <v>7.6520934057724935E-2</v>
      </c>
      <c r="D22" s="5">
        <f>'Clean Data'!E22/'Clean Data'!B22</f>
        <v>0.29418020147201113</v>
      </c>
      <c r="E22" s="5">
        <f>'Clean Data'!F22/'Clean Data'!B22</f>
        <v>0.21222058374594641</v>
      </c>
      <c r="F22" s="5">
        <f>'Clean Data'!G22/'Clean Data'!B22</f>
        <v>0.21072969728220034</v>
      </c>
    </row>
    <row r="23" spans="1:6" x14ac:dyDescent="0.2">
      <c r="A23" s="3" t="str">
        <f>'Clean Data'!A23</f>
        <v>2005-04-01</v>
      </c>
      <c r="B23" s="5">
        <f>'Clean Data'!C23/'Clean Data'!B23</f>
        <v>0.59924702900795224</v>
      </c>
      <c r="C23" s="5">
        <f>'Clean Data'!D23/'Clean Data'!B23</f>
        <v>7.466034442699368E-2</v>
      </c>
      <c r="D23" s="5">
        <f>'Clean Data'!E23/'Clean Data'!B23</f>
        <v>0.29998343064924871</v>
      </c>
      <c r="E23" s="5">
        <f>'Clean Data'!F23/'Clean Data'!B23</f>
        <v>0.21309307593559984</v>
      </c>
      <c r="F23" s="5">
        <f>'Clean Data'!G23/'Clean Data'!B23</f>
        <v>0.21673771481747364</v>
      </c>
    </row>
    <row r="24" spans="1:6" x14ac:dyDescent="0.2">
      <c r="A24" s="3" t="str">
        <f>'Clean Data'!A24</f>
        <v>2005-07-01</v>
      </c>
      <c r="B24" s="5">
        <f>'Clean Data'!C24/'Clean Data'!B24</f>
        <v>0.59966349735196134</v>
      </c>
      <c r="C24" s="5">
        <f>'Clean Data'!D24/'Clean Data'!B24</f>
        <v>8.8629505524831134E-2</v>
      </c>
      <c r="D24" s="5">
        <f>'Clean Data'!E24/'Clean Data'!B24</f>
        <v>0.30247693245998492</v>
      </c>
      <c r="E24" s="5">
        <f>'Clean Data'!F24/'Clean Data'!B24</f>
        <v>0.2220533014465719</v>
      </c>
      <c r="F24" s="5">
        <f>'Clean Data'!G24/'Clean Data'!B24</f>
        <v>0.22196784007899542</v>
      </c>
    </row>
    <row r="25" spans="1:6" x14ac:dyDescent="0.2">
      <c r="A25" s="3" t="str">
        <f>'Clean Data'!A25</f>
        <v>2005-10-01</v>
      </c>
      <c r="B25" s="5">
        <f>'Clean Data'!C25/'Clean Data'!B25</f>
        <v>0.59606457773033872</v>
      </c>
      <c r="C25" s="5">
        <f>'Clean Data'!D25/'Clean Data'!B25</f>
        <v>8.8153231881003644E-2</v>
      </c>
      <c r="D25" s="5">
        <f>'Clean Data'!E25/'Clean Data'!B25</f>
        <v>0.28406668296173332</v>
      </c>
      <c r="E25" s="5">
        <f>'Clean Data'!F25/'Clean Data'!B25</f>
        <v>0.2289436061205555</v>
      </c>
      <c r="F25" s="5">
        <f>'Clean Data'!G25/'Clean Data'!B25</f>
        <v>0.21206108430703124</v>
      </c>
    </row>
    <row r="26" spans="1:6" x14ac:dyDescent="0.2">
      <c r="A26" s="3" t="str">
        <f>'Clean Data'!A26</f>
        <v>2006-01-01</v>
      </c>
      <c r="B26" s="5">
        <f>'Clean Data'!C26/'Clean Data'!B26</f>
        <v>0.58848013529451537</v>
      </c>
      <c r="C26" s="5">
        <f>'Clean Data'!D26/'Clean Data'!B26</f>
        <v>8.591709162089671E-2</v>
      </c>
      <c r="D26" s="5">
        <f>'Clean Data'!E26/'Clean Data'!B26</f>
        <v>0.28536538741656081</v>
      </c>
      <c r="E26" s="5">
        <f>'Clean Data'!F26/'Clean Data'!B26</f>
        <v>0.22559158941342136</v>
      </c>
      <c r="F26" s="5">
        <f>'Clean Data'!G26/'Clean Data'!B26</f>
        <v>0.21026019824130029</v>
      </c>
    </row>
    <row r="27" spans="1:6" x14ac:dyDescent="0.2">
      <c r="A27" s="3" t="str">
        <f>'Clean Data'!A27</f>
        <v>2006-04-01</v>
      </c>
      <c r="B27" s="5">
        <f>'Clean Data'!C27/'Clean Data'!B27</f>
        <v>0.58742841901690912</v>
      </c>
      <c r="C27" s="5">
        <f>'Clean Data'!D27/'Clean Data'!B27</f>
        <v>8.6233489219644965E-2</v>
      </c>
      <c r="D27" s="5">
        <f>'Clean Data'!E27/'Clean Data'!B27</f>
        <v>0.28790935459107408</v>
      </c>
      <c r="E27" s="5">
        <f>'Clean Data'!F27/'Clean Data'!B27</f>
        <v>0.22554904782040408</v>
      </c>
      <c r="F27" s="5">
        <f>'Clean Data'!G27/'Clean Data'!B27</f>
        <v>0.22504513605881207</v>
      </c>
    </row>
    <row r="28" spans="1:6" x14ac:dyDescent="0.2">
      <c r="A28" s="3" t="str">
        <f>'Clean Data'!A28</f>
        <v>2006-07-01</v>
      </c>
      <c r="B28" s="5">
        <f>'Clean Data'!C28/'Clean Data'!B28</f>
        <v>0.58404850082451454</v>
      </c>
      <c r="C28" s="5">
        <f>'Clean Data'!D28/'Clean Data'!B28</f>
        <v>8.4621649311447195E-2</v>
      </c>
      <c r="D28" s="5">
        <f>'Clean Data'!E28/'Clean Data'!B28</f>
        <v>0.28771268228055508</v>
      </c>
      <c r="E28" s="5">
        <f>'Clean Data'!F28/'Clean Data'!B28</f>
        <v>0.2279592027123481</v>
      </c>
      <c r="F28" s="5">
        <f>'Clean Data'!G28/'Clean Data'!B28</f>
        <v>0.23267167372813591</v>
      </c>
    </row>
    <row r="29" spans="1:6" x14ac:dyDescent="0.2">
      <c r="A29" s="3" t="str">
        <f>'Clean Data'!A29</f>
        <v>2006-10-01</v>
      </c>
      <c r="B29" s="5">
        <f>'Clean Data'!C29/'Clean Data'!B29</f>
        <v>0.58226804864613368</v>
      </c>
      <c r="C29" s="5">
        <f>'Clean Data'!D29/'Clean Data'!B29</f>
        <v>8.4316712013762701E-2</v>
      </c>
      <c r="D29" s="5">
        <f>'Clean Data'!E29/'Clean Data'!B29</f>
        <v>0.28700305374471147</v>
      </c>
      <c r="E29" s="5">
        <f>'Clean Data'!F29/'Clean Data'!B29</f>
        <v>0.22989791193841325</v>
      </c>
      <c r="F29" s="5">
        <f>'Clean Data'!G29/'Clean Data'!B29</f>
        <v>0.21850724159511078</v>
      </c>
    </row>
    <row r="30" spans="1:6" x14ac:dyDescent="0.2">
      <c r="A30" s="3" t="str">
        <f>'Clean Data'!A30</f>
        <v>2007-01-01</v>
      </c>
      <c r="B30" s="5">
        <f>'Clean Data'!C30/'Clean Data'!B30</f>
        <v>0.57942721626132199</v>
      </c>
      <c r="C30" s="5">
        <f>'Clean Data'!D30/'Clean Data'!B30</f>
        <v>8.3791308227855923E-2</v>
      </c>
      <c r="D30" s="5">
        <f>'Clean Data'!E30/'Clean Data'!B30</f>
        <v>0.28844194135584711</v>
      </c>
      <c r="E30" s="5">
        <f>'Clean Data'!F30/'Clean Data'!B30</f>
        <v>0.23046467316678382</v>
      </c>
      <c r="F30" s="5">
        <f>'Clean Data'!G30/'Clean Data'!B30</f>
        <v>0.21472201227085164</v>
      </c>
    </row>
    <row r="31" spans="1:6" x14ac:dyDescent="0.2">
      <c r="A31" s="3" t="str">
        <f>'Clean Data'!A31</f>
        <v>2007-04-01</v>
      </c>
      <c r="B31" s="5">
        <f>'Clean Data'!C31/'Clean Data'!B31</f>
        <v>0.57733424635523767</v>
      </c>
      <c r="C31" s="5">
        <f>'Clean Data'!D31/'Clean Data'!B31</f>
        <v>8.3279427845202023E-2</v>
      </c>
      <c r="D31" s="5">
        <f>'Clean Data'!E31/'Clean Data'!B31</f>
        <v>0.29167808432394121</v>
      </c>
      <c r="E31" s="5">
        <f>'Clean Data'!F31/'Clean Data'!B31</f>
        <v>0.23311467820271242</v>
      </c>
      <c r="F31" s="5">
        <f>'Clean Data'!G31/'Clean Data'!B31</f>
        <v>0.22476175320666517</v>
      </c>
    </row>
    <row r="32" spans="1:6" x14ac:dyDescent="0.2">
      <c r="A32" s="3" t="str">
        <f>'Clean Data'!A32</f>
        <v>2007-07-01</v>
      </c>
      <c r="B32" s="5">
        <f>'Clean Data'!C32/'Clean Data'!B32</f>
        <v>0.57624642885500921</v>
      </c>
      <c r="C32" s="5">
        <f>'Clean Data'!D32/'Clean Data'!B32</f>
        <v>8.2794185683749494E-2</v>
      </c>
      <c r="D32" s="5">
        <f>'Clean Data'!E32/'Clean Data'!B32</f>
        <v>0.29533798957976959</v>
      </c>
      <c r="E32" s="5">
        <f>'Clean Data'!F32/'Clean Data'!B32</f>
        <v>0.23022829542318135</v>
      </c>
      <c r="F32" s="5">
        <f>'Clean Data'!G32/'Clean Data'!B32</f>
        <v>0.23344568377338679</v>
      </c>
    </row>
    <row r="33" spans="1:6" x14ac:dyDescent="0.2">
      <c r="A33" s="3" t="str">
        <f>'Clean Data'!A33</f>
        <v>2007-10-01</v>
      </c>
      <c r="B33" s="5">
        <f>'Clean Data'!C33/'Clean Data'!B33</f>
        <v>0.57959341539834874</v>
      </c>
      <c r="C33" s="5">
        <f>'Clean Data'!D33/'Clean Data'!B33</f>
        <v>8.3329411883238863E-2</v>
      </c>
      <c r="D33" s="5">
        <f>'Clean Data'!E33/'Clean Data'!B33</f>
        <v>0.30438013291061705</v>
      </c>
      <c r="E33" s="5">
        <f>'Clean Data'!F33/'Clean Data'!B33</f>
        <v>0.23404863944868914</v>
      </c>
      <c r="F33" s="5">
        <f>'Clean Data'!G33/'Clean Data'!B33</f>
        <v>0.23593239324776769</v>
      </c>
    </row>
    <row r="34" spans="1:6" x14ac:dyDescent="0.2">
      <c r="A34" s="3" t="str">
        <f>'Clean Data'!A34</f>
        <v>2008-01-01</v>
      </c>
      <c r="B34" s="5">
        <f>'Clean Data'!C34/'Clean Data'!B34</f>
        <v>0.57446602616319742</v>
      </c>
      <c r="C34" s="5">
        <f>'Clean Data'!D34/'Clean Data'!B34</f>
        <v>8.8596960280331843E-2</v>
      </c>
      <c r="D34" s="5">
        <f>'Clean Data'!E34/'Clean Data'!B34</f>
        <v>0.31013815214145418</v>
      </c>
      <c r="E34" s="5">
        <f>'Clean Data'!F34/'Clean Data'!B34</f>
        <v>0.25213572862670297</v>
      </c>
      <c r="F34" s="5">
        <f>'Clean Data'!G34/'Clean Data'!B34</f>
        <v>0.24806841054250042</v>
      </c>
    </row>
    <row r="35" spans="1:6" x14ac:dyDescent="0.2">
      <c r="A35" s="3" t="str">
        <f>'Clean Data'!A35</f>
        <v>2008-04-01</v>
      </c>
      <c r="B35" s="5">
        <f>'Clean Data'!C35/'Clean Data'!B35</f>
        <v>0.57342442959706785</v>
      </c>
      <c r="C35" s="5">
        <f>'Clean Data'!D35/'Clean Data'!B35</f>
        <v>8.5079125560206401E-2</v>
      </c>
      <c r="D35" s="5">
        <f>'Clean Data'!E35/'Clean Data'!B35</f>
        <v>0.31079312527342057</v>
      </c>
      <c r="E35" s="5">
        <f>'Clean Data'!F35/'Clean Data'!B35</f>
        <v>0.24405036059132654</v>
      </c>
      <c r="F35" s="5">
        <f>'Clean Data'!G35/'Clean Data'!B35</f>
        <v>0.24305106998176762</v>
      </c>
    </row>
    <row r="36" spans="1:6" x14ac:dyDescent="0.2">
      <c r="A36" s="3" t="str">
        <f>'Clean Data'!A36</f>
        <v>2008-07-01</v>
      </c>
      <c r="B36" s="5">
        <f>'Clean Data'!C36/'Clean Data'!B36</f>
        <v>0.57189801421273678</v>
      </c>
      <c r="C36" s="5">
        <f>'Clean Data'!D36/'Clean Data'!B36</f>
        <v>8.881359095441807E-2</v>
      </c>
      <c r="D36" s="5">
        <f>'Clean Data'!E36/'Clean Data'!B36</f>
        <v>0.31040802444663407</v>
      </c>
      <c r="E36" s="5">
        <f>'Clean Data'!F36/'Clean Data'!B36</f>
        <v>0.23548684283872953</v>
      </c>
      <c r="F36" s="5">
        <f>'Clean Data'!G36/'Clean Data'!B36</f>
        <v>0.23234064453333308</v>
      </c>
    </row>
    <row r="37" spans="1:6" x14ac:dyDescent="0.2">
      <c r="A37" s="3" t="str">
        <f>'Clean Data'!A37</f>
        <v>2008-10-01</v>
      </c>
      <c r="B37" s="5">
        <f>'Clean Data'!C37/'Clean Data'!B37</f>
        <v>0.5779982213178867</v>
      </c>
      <c r="C37" s="5">
        <f>'Clean Data'!D37/'Clean Data'!B37</f>
        <v>8.4595728902633546E-2</v>
      </c>
      <c r="D37" s="5">
        <f>'Clean Data'!E37/'Clean Data'!B37</f>
        <v>0.31416794495970146</v>
      </c>
      <c r="E37" s="5">
        <f>'Clean Data'!F37/'Clean Data'!B37</f>
        <v>0.22745914750435883</v>
      </c>
      <c r="F37" s="5">
        <f>'Clean Data'!G37/'Clean Data'!B37</f>
        <v>0.22058581381413267</v>
      </c>
    </row>
    <row r="38" spans="1:6" x14ac:dyDescent="0.2">
      <c r="A38" s="3" t="str">
        <f>'Clean Data'!A38</f>
        <v>2009-01-01</v>
      </c>
      <c r="B38" s="5">
        <f>'Clean Data'!C38/'Clean Data'!B38</f>
        <v>0.57761897225216785</v>
      </c>
      <c r="C38" s="5">
        <f>'Clean Data'!D38/'Clean Data'!B38</f>
        <v>9.5149362687263359E-2</v>
      </c>
      <c r="D38" s="5">
        <f>'Clean Data'!E38/'Clean Data'!B38</f>
        <v>0.312291703376534</v>
      </c>
      <c r="E38" s="5">
        <f>'Clean Data'!F38/'Clean Data'!B38</f>
        <v>0.21614104197975523</v>
      </c>
      <c r="F38" s="5">
        <f>'Clean Data'!G38/'Clean Data'!B38</f>
        <v>0.20493180233077979</v>
      </c>
    </row>
    <row r="39" spans="1:6" x14ac:dyDescent="0.2">
      <c r="A39" s="3" t="str">
        <f>'Clean Data'!A39</f>
        <v>2009-04-01</v>
      </c>
      <c r="B39" s="5">
        <f>'Clean Data'!C39/'Clean Data'!B39</f>
        <v>0.57592777940322537</v>
      </c>
      <c r="C39" s="5">
        <f>'Clean Data'!D39/'Clean Data'!B39</f>
        <v>9.2300205092093884E-2</v>
      </c>
      <c r="D39" s="5">
        <f>'Clean Data'!E39/'Clean Data'!B39</f>
        <v>0.30915824315636914</v>
      </c>
      <c r="E39" s="5">
        <f>'Clean Data'!F39/'Clean Data'!B39</f>
        <v>0.22148269004430643</v>
      </c>
      <c r="F39" s="5">
        <f>'Clean Data'!G39/'Clean Data'!B39</f>
        <v>0.20041404730795248</v>
      </c>
    </row>
    <row r="40" spans="1:6" x14ac:dyDescent="0.2">
      <c r="A40" s="3" t="str">
        <f>'Clean Data'!A40</f>
        <v>2009-07-01</v>
      </c>
      <c r="B40" s="5">
        <f>'Clean Data'!C40/'Clean Data'!B40</f>
        <v>0.57344126475644663</v>
      </c>
      <c r="C40" s="5">
        <f>'Clean Data'!D40/'Clean Data'!B40</f>
        <v>8.6550532601648217E-2</v>
      </c>
      <c r="D40" s="5">
        <f>'Clean Data'!E40/'Clean Data'!B40</f>
        <v>0.30852956085964695</v>
      </c>
      <c r="E40" s="5">
        <f>'Clean Data'!F40/'Clean Data'!B40</f>
        <v>0.22669947331135559</v>
      </c>
      <c r="F40" s="5">
        <f>'Clean Data'!G40/'Clean Data'!B40</f>
        <v>0.20352265827593669</v>
      </c>
    </row>
    <row r="41" spans="1:6" x14ac:dyDescent="0.2">
      <c r="A41" s="3" t="str">
        <f>'Clean Data'!A41</f>
        <v>2009-10-01</v>
      </c>
      <c r="B41" s="5">
        <f>'Clean Data'!C41/'Clean Data'!B41</f>
        <v>0.57113778216564792</v>
      </c>
      <c r="C41" s="5">
        <f>'Clean Data'!D41/'Clean Data'!B41</f>
        <v>9.4542777147544985E-2</v>
      </c>
      <c r="D41" s="5">
        <f>'Clean Data'!E41/'Clean Data'!B41</f>
        <v>0.30646105167941368</v>
      </c>
      <c r="E41" s="5">
        <f>'Clean Data'!F41/'Clean Data'!B41</f>
        <v>0.23222255050059074</v>
      </c>
      <c r="F41" s="5">
        <f>'Clean Data'!G41/'Clean Data'!B41</f>
        <v>0.20865878516455857</v>
      </c>
    </row>
    <row r="42" spans="1:6" x14ac:dyDescent="0.2">
      <c r="A42" s="3" t="str">
        <f>'Clean Data'!A42</f>
        <v>2010-01-01</v>
      </c>
      <c r="B42" s="5">
        <f>'Clean Data'!C42/'Clean Data'!B42</f>
        <v>0.56779436889975266</v>
      </c>
      <c r="C42" s="5">
        <f>'Clean Data'!D42/'Clean Data'!B42</f>
        <v>8.6367201990881229E-2</v>
      </c>
      <c r="D42" s="5">
        <f>'Clean Data'!E42/'Clean Data'!B42</f>
        <v>0.3071329798533704</v>
      </c>
      <c r="E42" s="5">
        <f>'Clean Data'!F42/'Clean Data'!B42</f>
        <v>0.24093815625944498</v>
      </c>
      <c r="F42" s="5">
        <f>'Clean Data'!G42/'Clean Data'!B42</f>
        <v>0.21817055966730478</v>
      </c>
    </row>
    <row r="43" spans="1:6" x14ac:dyDescent="0.2">
      <c r="A43" s="3" t="str">
        <f>'Clean Data'!A43</f>
        <v>2010-04-01</v>
      </c>
      <c r="B43" s="5">
        <f>'Clean Data'!C43/'Clean Data'!B43</f>
        <v>0.56476588434443786</v>
      </c>
      <c r="C43" s="5">
        <f>'Clean Data'!D43/'Clean Data'!B43</f>
        <v>8.646050518901427E-2</v>
      </c>
      <c r="D43" s="5">
        <f>'Clean Data'!E43/'Clean Data'!B43</f>
        <v>0.30975717797360763</v>
      </c>
      <c r="E43" s="5">
        <f>'Clean Data'!F43/'Clean Data'!B43</f>
        <v>0.23769715083356338</v>
      </c>
      <c r="F43" s="5">
        <f>'Clean Data'!G43/'Clean Data'!B43</f>
        <v>0.22217667153305967</v>
      </c>
    </row>
    <row r="44" spans="1:6" x14ac:dyDescent="0.2">
      <c r="A44" s="3" t="str">
        <f>'Clean Data'!A44</f>
        <v>2010-07-01</v>
      </c>
      <c r="B44" s="5">
        <f>'Clean Data'!C44/'Clean Data'!B44</f>
        <v>0.55865359158055616</v>
      </c>
      <c r="C44" s="5">
        <f>'Clean Data'!D44/'Clean Data'!B44</f>
        <v>9.3282599614622583E-2</v>
      </c>
      <c r="D44" s="5">
        <f>'Clean Data'!E44/'Clean Data'!B44</f>
        <v>0.31038124666567279</v>
      </c>
      <c r="E44" s="5">
        <f>'Clean Data'!F44/'Clean Data'!B44</f>
        <v>0.23919891475213095</v>
      </c>
      <c r="F44" s="5">
        <f>'Clean Data'!G44/'Clean Data'!B44</f>
        <v>0.22393125976208827</v>
      </c>
    </row>
    <row r="45" spans="1:6" x14ac:dyDescent="0.2">
      <c r="A45" s="3" t="str">
        <f>'Clean Data'!A45</f>
        <v>2010-10-01</v>
      </c>
      <c r="B45" s="5">
        <f>'Clean Data'!C45/'Clean Data'!B45</f>
        <v>0.55775692658707232</v>
      </c>
      <c r="C45" s="5">
        <f>'Clean Data'!D45/'Clean Data'!B45</f>
        <v>9.3897005105056663E-2</v>
      </c>
      <c r="D45" s="5">
        <f>'Clean Data'!E45/'Clean Data'!B45</f>
        <v>0.31257122564995377</v>
      </c>
      <c r="E45" s="5">
        <f>'Clean Data'!F45/'Clean Data'!B45</f>
        <v>0.25381178992200648</v>
      </c>
      <c r="F45" s="5">
        <f>'Clean Data'!G45/'Clean Data'!B45</f>
        <v>0.23148257678547823</v>
      </c>
    </row>
    <row r="46" spans="1:6" x14ac:dyDescent="0.2">
      <c r="A46" s="3" t="str">
        <f>'Clean Data'!A46</f>
        <v>2011-01-01</v>
      </c>
      <c r="B46" s="5">
        <f>'Clean Data'!C46/'Clean Data'!B46</f>
        <v>0.55704180124471203</v>
      </c>
      <c r="C46" s="5">
        <f>'Clean Data'!D46/'Clean Data'!B46</f>
        <v>8.8297970583099114E-2</v>
      </c>
      <c r="D46" s="5">
        <f>'Clean Data'!E46/'Clean Data'!B46</f>
        <v>0.31555712820249249</v>
      </c>
      <c r="E46" s="5">
        <f>'Clean Data'!F46/'Clean Data'!B46</f>
        <v>0.25496634162057913</v>
      </c>
      <c r="F46" s="5">
        <f>'Clean Data'!G46/'Clean Data'!B46</f>
        <v>0.23578055236171336</v>
      </c>
    </row>
    <row r="47" spans="1:6" x14ac:dyDescent="0.2">
      <c r="A47" s="3" t="str">
        <f>'Clean Data'!A47</f>
        <v>2011-04-01</v>
      </c>
      <c r="B47" s="5">
        <f>'Clean Data'!C47/'Clean Data'!B47</f>
        <v>0.55677409340991257</v>
      </c>
      <c r="C47" s="5">
        <f>'Clean Data'!D47/'Clean Data'!B47</f>
        <v>8.7048070382230211E-2</v>
      </c>
      <c r="D47" s="5">
        <f>'Clean Data'!E47/'Clean Data'!B47</f>
        <v>0.31644970593630184</v>
      </c>
      <c r="E47" s="5">
        <f>'Clean Data'!F47/'Clean Data'!B47</f>
        <v>0.26507151546405844</v>
      </c>
      <c r="F47" s="5">
        <f>'Clean Data'!G47/'Clean Data'!B47</f>
        <v>0.23806413956514003</v>
      </c>
    </row>
    <row r="48" spans="1:6" x14ac:dyDescent="0.2">
      <c r="A48" s="3" t="str">
        <f>'Clean Data'!A48</f>
        <v>2011-07-01</v>
      </c>
      <c r="B48" s="5">
        <f>'Clean Data'!C48/'Clean Data'!B48</f>
        <v>0.55602830873074693</v>
      </c>
      <c r="C48" s="5">
        <f>'Clean Data'!D48/'Clean Data'!B48</f>
        <v>9.1418352740728792E-2</v>
      </c>
      <c r="D48" s="5">
        <f>'Clean Data'!E48/'Clean Data'!B48</f>
        <v>0.31821396058664453</v>
      </c>
      <c r="E48" s="5">
        <f>'Clean Data'!F48/'Clean Data'!B48</f>
        <v>0.26924632258897019</v>
      </c>
      <c r="F48" s="5">
        <f>'Clean Data'!G48/'Clean Data'!B48</f>
        <v>0.24948319925710008</v>
      </c>
    </row>
    <row r="49" spans="1:6" x14ac:dyDescent="0.2">
      <c r="A49" s="3" t="str">
        <f>'Clean Data'!A49</f>
        <v>2011-10-01</v>
      </c>
      <c r="B49" s="5">
        <f>'Clean Data'!C49/'Clean Data'!B49</f>
        <v>0.55537998741935157</v>
      </c>
      <c r="C49" s="5">
        <f>'Clean Data'!D49/'Clean Data'!B49</f>
        <v>9.1166218854169742E-2</v>
      </c>
      <c r="D49" s="5">
        <f>'Clean Data'!E49/'Clean Data'!B49</f>
        <v>0.32103688681789355</v>
      </c>
      <c r="E49" s="5">
        <f>'Clean Data'!F49/'Clean Data'!B49</f>
        <v>0.2612425513717937</v>
      </c>
      <c r="F49" s="5">
        <f>'Clean Data'!G49/'Clean Data'!B49</f>
        <v>0.24719824367605164</v>
      </c>
    </row>
    <row r="50" spans="1:6" x14ac:dyDescent="0.2">
      <c r="A50" s="3" t="str">
        <f>'Clean Data'!A50</f>
        <v>2012-01-01</v>
      </c>
      <c r="B50" s="5">
        <f>'Clean Data'!C50/'Clean Data'!B50</f>
        <v>0.55431246300345138</v>
      </c>
      <c r="C50" s="5">
        <f>'Clean Data'!D50/'Clean Data'!B50</f>
        <v>8.8852179859199645E-2</v>
      </c>
      <c r="D50" s="5">
        <f>'Clean Data'!E50/'Clean Data'!B50</f>
        <v>0.32355536978904009</v>
      </c>
      <c r="E50" s="5">
        <f>'Clean Data'!F50/'Clean Data'!B50</f>
        <v>0.25747170096673122</v>
      </c>
      <c r="F50" s="5">
        <f>'Clean Data'!G50/'Clean Data'!B50</f>
        <v>0.24765056539748601</v>
      </c>
    </row>
    <row r="51" spans="1:6" x14ac:dyDescent="0.2">
      <c r="A51" s="3" t="str">
        <f>'Clean Data'!A51</f>
        <v>2012-04-01</v>
      </c>
      <c r="B51" s="5">
        <f>'Clean Data'!C51/'Clean Data'!B51</f>
        <v>0.55385330441770342</v>
      </c>
      <c r="C51" s="5">
        <f>'Clean Data'!D51/'Clean Data'!B51</f>
        <v>9.4123391859709596E-2</v>
      </c>
      <c r="D51" s="5">
        <f>'Clean Data'!E51/'Clean Data'!B51</f>
        <v>0.32649478194585579</v>
      </c>
      <c r="E51" s="5">
        <f>'Clean Data'!F51/'Clean Data'!B51</f>
        <v>0.25384040418575848</v>
      </c>
      <c r="F51" s="5">
        <f>'Clean Data'!G51/'Clean Data'!B51</f>
        <v>0.25277310841359329</v>
      </c>
    </row>
    <row r="52" spans="1:6" x14ac:dyDescent="0.2">
      <c r="A52" s="3" t="str">
        <f>'Clean Data'!A52</f>
        <v>2012-07-01</v>
      </c>
      <c r="B52" s="5">
        <f>'Clean Data'!C52/'Clean Data'!B52</f>
        <v>0.55337372998185208</v>
      </c>
      <c r="C52" s="5">
        <f>'Clean Data'!D52/'Clean Data'!B52</f>
        <v>8.4035224308800768E-2</v>
      </c>
      <c r="D52" s="5">
        <f>'Clean Data'!E52/'Clean Data'!B52</f>
        <v>0.32866990221143716</v>
      </c>
      <c r="E52" s="5">
        <f>'Clean Data'!F52/'Clean Data'!B52</f>
        <v>0.24988060768188242</v>
      </c>
      <c r="F52" s="5">
        <f>'Clean Data'!G52/'Clean Data'!B52</f>
        <v>0.24090108044145059</v>
      </c>
    </row>
    <row r="53" spans="1:6" x14ac:dyDescent="0.2">
      <c r="A53" s="3" t="str">
        <f>'Clean Data'!A53</f>
        <v>2012-10-01</v>
      </c>
      <c r="B53" s="5">
        <f>'Clean Data'!C53/'Clean Data'!B53</f>
        <v>0.55289054190482889</v>
      </c>
      <c r="C53" s="5">
        <f>'Clean Data'!D53/'Clean Data'!B53</f>
        <v>8.6069829590466204E-2</v>
      </c>
      <c r="D53" s="5">
        <f>'Clean Data'!E53/'Clean Data'!B53</f>
        <v>0.32963794337942659</v>
      </c>
      <c r="E53" s="5">
        <f>'Clean Data'!F53/'Clean Data'!B53</f>
        <v>0.24596213249067375</v>
      </c>
      <c r="F53" s="5">
        <f>'Clean Data'!G53/'Clean Data'!B53</f>
        <v>0.24764463495682776</v>
      </c>
    </row>
    <row r="54" spans="1:6" x14ac:dyDescent="0.2">
      <c r="A54" s="3" t="str">
        <f>'Clean Data'!A54</f>
        <v>2013-01-01</v>
      </c>
      <c r="B54" s="5">
        <f>'Clean Data'!C54/'Clean Data'!B54</f>
        <v>0.55289350667757997</v>
      </c>
      <c r="C54" s="5">
        <f>'Clean Data'!D54/'Clean Data'!B54</f>
        <v>8.66263253343693E-2</v>
      </c>
      <c r="D54" s="5">
        <f>'Clean Data'!E54/'Clean Data'!B54</f>
        <v>0.32739359255267864</v>
      </c>
      <c r="E54" s="5">
        <f>'Clean Data'!F54/'Clean Data'!B54</f>
        <v>0.2489329577144567</v>
      </c>
      <c r="F54" s="5">
        <f>'Clean Data'!G54/'Clean Data'!B54</f>
        <v>0.23966049419530983</v>
      </c>
    </row>
    <row r="55" spans="1:6" x14ac:dyDescent="0.2">
      <c r="A55" s="3" t="str">
        <f>'Clean Data'!A55</f>
        <v>2013-04-01</v>
      </c>
      <c r="B55" s="5">
        <f>'Clean Data'!C55/'Clean Data'!B55</f>
        <v>0.55278960062146176</v>
      </c>
      <c r="C55" s="5">
        <f>'Clean Data'!D55/'Clean Data'!B55</f>
        <v>9.2112886694828977E-2</v>
      </c>
      <c r="D55" s="5">
        <f>'Clean Data'!E55/'Clean Data'!B55</f>
        <v>0.32587972792046749</v>
      </c>
      <c r="E55" s="5">
        <f>'Clean Data'!F55/'Clean Data'!B55</f>
        <v>0.24834740431462893</v>
      </c>
      <c r="F55" s="5">
        <f>'Clean Data'!G55/'Clean Data'!B55</f>
        <v>0.2403642786145416</v>
      </c>
    </row>
    <row r="56" spans="1:6" x14ac:dyDescent="0.2">
      <c r="A56" s="3" t="str">
        <f>'Clean Data'!A56</f>
        <v>2013-07-01</v>
      </c>
      <c r="B56" s="5">
        <f>'Clean Data'!C56/'Clean Data'!B56</f>
        <v>0.5533398697888019</v>
      </c>
      <c r="C56" s="5">
        <f>'Clean Data'!D56/'Clean Data'!B56</f>
        <v>8.954882941329817E-2</v>
      </c>
      <c r="D56" s="5">
        <f>'Clean Data'!E56/'Clean Data'!B56</f>
        <v>0.32495202372323356</v>
      </c>
      <c r="E56" s="5">
        <f>'Clean Data'!F56/'Clean Data'!B56</f>
        <v>0.24342410628492292</v>
      </c>
      <c r="F56" s="5">
        <f>'Clean Data'!G56/'Clean Data'!B56</f>
        <v>0.240421736087162</v>
      </c>
    </row>
    <row r="57" spans="1:6" x14ac:dyDescent="0.2">
      <c r="A57" s="3" t="str">
        <f>'Clean Data'!A57</f>
        <v>2013-10-01</v>
      </c>
      <c r="B57" s="5">
        <f>'Clean Data'!C57/'Clean Data'!B57</f>
        <v>0.55368965829933137</v>
      </c>
      <c r="C57" s="5">
        <f>'Clean Data'!D57/'Clean Data'!B57</f>
        <v>8.8614003963521037E-2</v>
      </c>
      <c r="D57" s="5">
        <f>'Clean Data'!E57/'Clean Data'!B57</f>
        <v>0.32357702523344828</v>
      </c>
      <c r="E57" s="5">
        <f>'Clean Data'!F57/'Clean Data'!B57</f>
        <v>0.25287078411211994</v>
      </c>
      <c r="F57" s="5">
        <f>'Clean Data'!G57/'Clean Data'!B57</f>
        <v>0.23392957131074868</v>
      </c>
    </row>
    <row r="58" spans="1:6" x14ac:dyDescent="0.2">
      <c r="A58" s="3" t="str">
        <f>'Clean Data'!A58</f>
        <v>2014-01-01</v>
      </c>
      <c r="B58" s="5">
        <f>'Clean Data'!C58/'Clean Data'!B58</f>
        <v>0.55449433602845088</v>
      </c>
      <c r="C58" s="5">
        <f>'Clean Data'!D58/'Clean Data'!B58</f>
        <v>8.7019380868227594E-2</v>
      </c>
      <c r="D58" s="5">
        <f>'Clean Data'!E58/'Clean Data'!B58</f>
        <v>0.32416538975180598</v>
      </c>
      <c r="E58" s="5">
        <f>'Clean Data'!F58/'Clean Data'!B58</f>
        <v>0.24313994690038368</v>
      </c>
      <c r="F58" s="5">
        <f>'Clean Data'!G58/'Clean Data'!B58</f>
        <v>0.23725409761602675</v>
      </c>
    </row>
    <row r="59" spans="1:6" x14ac:dyDescent="0.2">
      <c r="A59" s="3" t="str">
        <f>'Clean Data'!A59</f>
        <v>2014-04-01</v>
      </c>
      <c r="B59" s="5">
        <f>'Clean Data'!C59/'Clean Data'!B59</f>
        <v>0.55475289200713729</v>
      </c>
      <c r="C59" s="5">
        <f>'Clean Data'!D59/'Clean Data'!B59</f>
        <v>8.5755375879871129E-2</v>
      </c>
      <c r="D59" s="5">
        <f>'Clean Data'!E59/'Clean Data'!B59</f>
        <v>0.32423375125083304</v>
      </c>
      <c r="E59" s="5">
        <f>'Clean Data'!F59/'Clean Data'!B59</f>
        <v>0.24018458499309683</v>
      </c>
      <c r="F59" s="5">
        <f>'Clean Data'!G59/'Clean Data'!B59</f>
        <v>0.23413041136073018</v>
      </c>
    </row>
    <row r="60" spans="1:6" x14ac:dyDescent="0.2">
      <c r="A60" s="3" t="str">
        <f>'Clean Data'!A60</f>
        <v>2014-07-01</v>
      </c>
      <c r="B60" s="5">
        <f>'Clean Data'!C60/'Clean Data'!B60</f>
        <v>0.55448782434125876</v>
      </c>
      <c r="C60" s="5">
        <f>'Clean Data'!D60/'Clean Data'!B60</f>
        <v>8.5723655303684851E-2</v>
      </c>
      <c r="D60" s="5">
        <f>'Clean Data'!E60/'Clean Data'!B60</f>
        <v>0.32338428590647583</v>
      </c>
      <c r="E60" s="5">
        <f>'Clean Data'!F60/'Clean Data'!B60</f>
        <v>0.23915268664267558</v>
      </c>
      <c r="F60" s="5">
        <f>'Clean Data'!G60/'Clean Data'!B60</f>
        <v>0.22900831517515263</v>
      </c>
    </row>
    <row r="61" spans="1:6" x14ac:dyDescent="0.2">
      <c r="A61" s="3" t="str">
        <f>'Clean Data'!A61</f>
        <v>2014-10-01</v>
      </c>
      <c r="B61" s="5">
        <f>'Clean Data'!C61/'Clean Data'!B61</f>
        <v>0.55483032394385057</v>
      </c>
      <c r="C61" s="5">
        <f>'Clean Data'!D61/'Clean Data'!B61</f>
        <v>8.5392564394339371E-2</v>
      </c>
      <c r="D61" s="5">
        <f>'Clean Data'!E61/'Clean Data'!B61</f>
        <v>0.32305203172685198</v>
      </c>
      <c r="E61" s="5">
        <f>'Clean Data'!F61/'Clean Data'!B61</f>
        <v>0.23410047346938126</v>
      </c>
      <c r="F61" s="5">
        <f>'Clean Data'!G61/'Clean Data'!B61</f>
        <v>0.22783348243306151</v>
      </c>
    </row>
    <row r="62" spans="1:6" x14ac:dyDescent="0.2">
      <c r="A62" s="3" t="str">
        <f>'Clean Data'!A62</f>
        <v>2015-01-01</v>
      </c>
      <c r="B62" s="5">
        <f>'Clean Data'!C62/'Clean Data'!B62</f>
        <v>0.55440721843231977</v>
      </c>
      <c r="C62" s="5">
        <f>'Clean Data'!D62/'Clean Data'!B62</f>
        <v>8.5413424966806234E-2</v>
      </c>
      <c r="D62" s="5">
        <f>'Clean Data'!E62/'Clean Data'!B62</f>
        <v>0.32361991781102378</v>
      </c>
      <c r="E62" s="5">
        <f>'Clean Data'!F62/'Clean Data'!B62</f>
        <v>0.23027370159549579</v>
      </c>
      <c r="F62" s="5">
        <f>'Clean Data'!G62/'Clean Data'!B62</f>
        <v>0.21719497168254354</v>
      </c>
    </row>
    <row r="63" spans="1:6" x14ac:dyDescent="0.2">
      <c r="A63" s="3" t="str">
        <f>'Clean Data'!A63</f>
        <v>2015-04-01</v>
      </c>
      <c r="B63" s="5">
        <f>'Clean Data'!C63/'Clean Data'!B63</f>
        <v>0.5544403563797512</v>
      </c>
      <c r="C63" s="5">
        <f>'Clean Data'!D63/'Clean Data'!B63</f>
        <v>8.447229999268295E-2</v>
      </c>
      <c r="D63" s="5">
        <f>'Clean Data'!E63/'Clean Data'!B63</f>
        <v>0.32415950545227773</v>
      </c>
      <c r="E63" s="5">
        <f>'Clean Data'!F63/'Clean Data'!B63</f>
        <v>0.22558031353696151</v>
      </c>
      <c r="F63" s="5">
        <f>'Clean Data'!G63/'Clean Data'!B63</f>
        <v>0.209679478597876</v>
      </c>
    </row>
    <row r="64" spans="1:6" x14ac:dyDescent="0.2">
      <c r="A64" s="3" t="str">
        <f>'Clean Data'!A64</f>
        <v>2015-07-01</v>
      </c>
      <c r="B64" s="5">
        <f>'Clean Data'!C64/'Clean Data'!B64</f>
        <v>0.55466516883192118</v>
      </c>
      <c r="C64" s="5">
        <f>'Clean Data'!D64/'Clean Data'!B64</f>
        <v>8.7794715129518724E-2</v>
      </c>
      <c r="D64" s="5">
        <f>'Clean Data'!E64/'Clean Data'!B64</f>
        <v>0.32437667208086551</v>
      </c>
      <c r="E64" s="5">
        <f>'Clean Data'!F64/'Clean Data'!B64</f>
        <v>0.22405406720155654</v>
      </c>
      <c r="F64" s="5">
        <f>'Clean Data'!G64/'Clean Data'!B64</f>
        <v>0.20551952773843998</v>
      </c>
    </row>
    <row r="65" spans="1:6" x14ac:dyDescent="0.2">
      <c r="A65" s="3" t="str">
        <f>'Clean Data'!A65</f>
        <v>2015-10-01</v>
      </c>
      <c r="B65" s="5">
        <f>'Clean Data'!C65/'Clean Data'!B65</f>
        <v>0.55432057879602736</v>
      </c>
      <c r="C65" s="5">
        <f>'Clean Data'!D65/'Clean Data'!B65</f>
        <v>8.7551857540932268E-2</v>
      </c>
      <c r="D65" s="5">
        <f>'Clean Data'!E65/'Clean Data'!B65</f>
        <v>0.32428506257823575</v>
      </c>
      <c r="E65" s="5">
        <f>'Clean Data'!F65/'Clean Data'!B65</f>
        <v>0.213027128785829</v>
      </c>
      <c r="F65" s="5">
        <f>'Clean Data'!G65/'Clean Data'!B65</f>
        <v>0.1975747974568742</v>
      </c>
    </row>
    <row r="66" spans="1:6" x14ac:dyDescent="0.2">
      <c r="A66" s="3" t="str">
        <f>'Clean Data'!A66</f>
        <v>2016-01-01</v>
      </c>
      <c r="B66" s="5">
        <f>'Clean Data'!C66/'Clean Data'!B66</f>
        <v>0.55463724161038053</v>
      </c>
      <c r="C66" s="5">
        <f>'Clean Data'!D66/'Clean Data'!B66</f>
        <v>8.3509236164359998E-2</v>
      </c>
      <c r="D66" s="5">
        <f>'Clean Data'!E66/'Clean Data'!B66</f>
        <v>0.32352494449881325</v>
      </c>
      <c r="E66" s="5">
        <f>'Clean Data'!F66/'Clean Data'!B66</f>
        <v>0.20994983422017377</v>
      </c>
      <c r="F66" s="5">
        <f>'Clean Data'!G66/'Clean Data'!B66</f>
        <v>0.1947676557515062</v>
      </c>
    </row>
    <row r="67" spans="1:6" x14ac:dyDescent="0.2">
      <c r="A67" s="3" t="str">
        <f>'Clean Data'!A67</f>
        <v>2016-04-01</v>
      </c>
      <c r="B67" s="5">
        <f>'Clean Data'!C67/'Clean Data'!B67</f>
        <v>0.55443369078342131</v>
      </c>
      <c r="C67" s="5">
        <f>'Clean Data'!D67/'Clean Data'!B67</f>
        <v>8.4611005367358411E-2</v>
      </c>
      <c r="D67" s="5">
        <f>'Clean Data'!E67/'Clean Data'!B67</f>
        <v>0.32230877175770045</v>
      </c>
      <c r="E67" s="5">
        <f>'Clean Data'!F67/'Clean Data'!B67</f>
        <v>0.21215095022549399</v>
      </c>
      <c r="F67" s="5">
        <f>'Clean Data'!G67/'Clean Data'!B67</f>
        <v>0.19575071755605936</v>
      </c>
    </row>
    <row r="68" spans="1:6" x14ac:dyDescent="0.2">
      <c r="A68" s="3" t="str">
        <f>'Clean Data'!A68</f>
        <v>2016-07-01</v>
      </c>
      <c r="B68" s="5">
        <f>'Clean Data'!C68/'Clean Data'!B68</f>
        <v>0.55449905706736557</v>
      </c>
      <c r="C68" s="5">
        <f>'Clean Data'!D68/'Clean Data'!B68</f>
        <v>8.0330828011420538E-2</v>
      </c>
      <c r="D68" s="5">
        <f>'Clean Data'!E68/'Clean Data'!B68</f>
        <v>0.32175650941559064</v>
      </c>
      <c r="E68" s="5">
        <f>'Clean Data'!F68/'Clean Data'!B68</f>
        <v>0.20243453686815849</v>
      </c>
      <c r="F68" s="5">
        <f>'Clean Data'!G68/'Clean Data'!B68</f>
        <v>0.18758255900700146</v>
      </c>
    </row>
    <row r="69" spans="1:6" x14ac:dyDescent="0.2">
      <c r="A69" s="3" t="str">
        <f>'Clean Data'!A69</f>
        <v>2016-10-01</v>
      </c>
      <c r="B69" s="5">
        <f>'Clean Data'!C69/'Clean Data'!B69</f>
        <v>0.55450713169371868</v>
      </c>
      <c r="C69" s="5">
        <f>'Clean Data'!D69/'Clean Data'!B69</f>
        <v>7.9923353678232764E-2</v>
      </c>
      <c r="D69" s="5">
        <f>'Clean Data'!E69/'Clean Data'!B69</f>
        <v>0.32198463467429134</v>
      </c>
      <c r="E69" s="5">
        <f>'Clean Data'!F69/'Clean Data'!B69</f>
        <v>0.21122460200334015</v>
      </c>
      <c r="F69" s="5">
        <f>'Clean Data'!G69/'Clean Data'!B69</f>
        <v>0.19282031027135976</v>
      </c>
    </row>
    <row r="70" spans="1:6" x14ac:dyDescent="0.2">
      <c r="A70" s="3" t="str">
        <f>'Clean Data'!A70</f>
        <v>2017-01-01</v>
      </c>
      <c r="B70" s="5">
        <f>'Clean Data'!C70/'Clean Data'!B70</f>
        <v>0.55430372881773338</v>
      </c>
      <c r="C70" s="5">
        <f>'Clean Data'!D70/'Clean Data'!B70</f>
        <v>8.109632996356661E-2</v>
      </c>
      <c r="D70" s="5">
        <f>'Clean Data'!E70/'Clean Data'!B70</f>
        <v>0.32288043548923639</v>
      </c>
      <c r="E70" s="5">
        <f>'Clean Data'!F70/'Clean Data'!B70</f>
        <v>0.21482071400852995</v>
      </c>
      <c r="F70" s="5">
        <f>'Clean Data'!G70/'Clean Data'!B70</f>
        <v>0.19372396077209808</v>
      </c>
    </row>
    <row r="71" spans="1:6" x14ac:dyDescent="0.2">
      <c r="A71" s="3" t="str">
        <f>'Clean Data'!A71</f>
        <v>2017-04-01</v>
      </c>
      <c r="B71" s="5">
        <f>'Clean Data'!C71/'Clean Data'!B71</f>
        <v>0.55411489886753118</v>
      </c>
      <c r="C71" s="5">
        <f>'Clean Data'!D71/'Clean Data'!B71</f>
        <v>7.9169723873254633E-2</v>
      </c>
      <c r="D71" s="5">
        <f>'Clean Data'!E71/'Clean Data'!B71</f>
        <v>0.3249559775120775</v>
      </c>
      <c r="E71" s="5">
        <f>'Clean Data'!F71/'Clean Data'!B71</f>
        <v>0.21251132704398704</v>
      </c>
      <c r="F71" s="5">
        <f>'Clean Data'!G71/'Clean Data'!B71</f>
        <v>0.19228591781682178</v>
      </c>
    </row>
    <row r="72" spans="1:6" x14ac:dyDescent="0.2">
      <c r="A72" s="3" t="str">
        <f>'Clean Data'!A72</f>
        <v>2017-07-01</v>
      </c>
      <c r="B72" s="5">
        <f>'Clean Data'!C72/'Clean Data'!B72</f>
        <v>0.55404657111835143</v>
      </c>
      <c r="C72" s="5">
        <f>'Clean Data'!D72/'Clean Data'!B72</f>
        <v>7.9225050846635184E-2</v>
      </c>
      <c r="D72" s="5">
        <f>'Clean Data'!E72/'Clean Data'!B72</f>
        <v>0.32660634574962083</v>
      </c>
      <c r="E72" s="5">
        <f>'Clean Data'!F72/'Clean Data'!B72</f>
        <v>0.21981834659404831</v>
      </c>
      <c r="F72" s="5">
        <f>'Clean Data'!G72/'Clean Data'!B72</f>
        <v>0.20175473295893209</v>
      </c>
    </row>
    <row r="73" spans="1:6" x14ac:dyDescent="0.2">
      <c r="A73" s="3" t="str">
        <f>'Clean Data'!A73</f>
        <v>2017-10-01</v>
      </c>
      <c r="B73" s="5">
        <f>'Clean Data'!C73/'Clean Data'!B73</f>
        <v>0.55375962904571085</v>
      </c>
      <c r="C73" s="5">
        <f>'Clean Data'!D73/'Clean Data'!B73</f>
        <v>7.961657884972366E-2</v>
      </c>
      <c r="D73" s="5">
        <f>'Clean Data'!E73/'Clean Data'!B73</f>
        <v>0.32829496474544489</v>
      </c>
      <c r="E73" s="5">
        <f>'Clean Data'!F73/'Clean Data'!B73</f>
        <v>0.21889462818155961</v>
      </c>
      <c r="F73" s="5">
        <f>'Clean Data'!G73/'Clean Data'!B73</f>
        <v>0.20479840698832164</v>
      </c>
    </row>
    <row r="74" spans="1:6" x14ac:dyDescent="0.2">
      <c r="A74" s="3" t="str">
        <f>'Clean Data'!A74</f>
        <v>2018-01-01</v>
      </c>
      <c r="B74" s="5">
        <f>'Clean Data'!C74/'Clean Data'!B74</f>
        <v>0.5535486294084967</v>
      </c>
      <c r="C74" s="5">
        <f>'Clean Data'!D74/'Clean Data'!B74</f>
        <v>7.925054363278658E-2</v>
      </c>
      <c r="D74" s="5">
        <f>'Clean Data'!E74/'Clean Data'!B74</f>
        <v>0.32975721462940033</v>
      </c>
      <c r="E74" s="5">
        <f>'Clean Data'!F74/'Clean Data'!B74</f>
        <v>0.22070543197977607</v>
      </c>
      <c r="F74" s="5">
        <f>'Clean Data'!G74/'Clean Data'!B74</f>
        <v>0.21245535059294049</v>
      </c>
    </row>
    <row r="75" spans="1:6" x14ac:dyDescent="0.2">
      <c r="A75" s="3" t="str">
        <f>'Clean Data'!A75</f>
        <v>2018-04-01</v>
      </c>
      <c r="B75" s="5">
        <f>'Clean Data'!C75/'Clean Data'!B75</f>
        <v>0.55386529660967576</v>
      </c>
      <c r="C75" s="5">
        <f>'Clean Data'!D75/'Clean Data'!B75</f>
        <v>7.9359844571331925E-2</v>
      </c>
      <c r="D75" s="5">
        <f>'Clean Data'!E75/'Clean Data'!B75</f>
        <v>0.33020364804173918</v>
      </c>
      <c r="E75" s="5">
        <f>'Clean Data'!F75/'Clean Data'!B75</f>
        <v>0.22046031279848122</v>
      </c>
      <c r="F75" s="5">
        <f>'Clean Data'!G75/'Clean Data'!B75</f>
        <v>0.21308075208486549</v>
      </c>
    </row>
    <row r="76" spans="1:6" x14ac:dyDescent="0.2">
      <c r="A76" s="3" t="str">
        <f>'Clean Data'!A76</f>
        <v>2018-07-01</v>
      </c>
      <c r="B76" s="5">
        <f>'Clean Data'!C76/'Clean Data'!B76</f>
        <v>0.55359479611169415</v>
      </c>
      <c r="C76" s="5">
        <f>'Clean Data'!D76/'Clean Data'!B76</f>
        <v>7.989831104179633E-2</v>
      </c>
      <c r="D76" s="5">
        <f>'Clean Data'!E76/'Clean Data'!B76</f>
        <v>0.33071228617546944</v>
      </c>
      <c r="E76" s="5">
        <f>'Clean Data'!F76/'Clean Data'!B76</f>
        <v>0.21945684414416058</v>
      </c>
      <c r="F76" s="5">
        <f>'Clean Data'!G76/'Clean Data'!B76</f>
        <v>0.21279330932101889</v>
      </c>
    </row>
    <row r="77" spans="1:6" x14ac:dyDescent="0.2">
      <c r="A77" s="3" t="str">
        <f>'Clean Data'!A77</f>
        <v>2018-10-01</v>
      </c>
      <c r="B77" s="5">
        <f>'Clean Data'!C77/'Clean Data'!B77</f>
        <v>0.55440281325120389</v>
      </c>
      <c r="C77" s="5">
        <f>'Clean Data'!D77/'Clean Data'!B77</f>
        <v>7.9491547135548221E-2</v>
      </c>
      <c r="D77" s="5">
        <f>'Clean Data'!E77/'Clean Data'!B77</f>
        <v>0.33075460813199453</v>
      </c>
      <c r="E77" s="5">
        <f>'Clean Data'!F77/'Clean Data'!B77</f>
        <v>0.21666291181381503</v>
      </c>
      <c r="F77" s="5">
        <f>'Clean Data'!G77/'Clean Data'!B77</f>
        <v>0.20708519993643612</v>
      </c>
    </row>
    <row r="78" spans="1:6" x14ac:dyDescent="0.2">
      <c r="A78" s="3" t="str">
        <f>'Clean Data'!A78</f>
        <v>2019-01-01</v>
      </c>
      <c r="B78" s="5">
        <f>'Clean Data'!C78/'Clean Data'!B78</f>
        <v>0.55567085443368658</v>
      </c>
      <c r="C78" s="5">
        <f>'Clean Data'!D78/'Clean Data'!B78</f>
        <v>7.8783689312466029E-2</v>
      </c>
      <c r="D78" s="5">
        <f>'Clean Data'!E78/'Clean Data'!B78</f>
        <v>0.33057065609811137</v>
      </c>
      <c r="E78" s="5">
        <f>'Clean Data'!F78/'Clean Data'!B78</f>
        <v>0.21113169144087301</v>
      </c>
      <c r="F78" s="5">
        <f>'Clean Data'!G78/'Clean Data'!B78</f>
        <v>0.19496586555829393</v>
      </c>
    </row>
    <row r="79" spans="1:6" x14ac:dyDescent="0.2">
      <c r="A79" s="3" t="str">
        <f>'Clean Data'!A79</f>
        <v>2019-04-01</v>
      </c>
      <c r="B79" s="5">
        <f>'Clean Data'!C79/'Clean Data'!B79</f>
        <v>0.55663934846871399</v>
      </c>
      <c r="C79" s="5">
        <f>'Clean Data'!D79/'Clean Data'!B79</f>
        <v>8.1349614217111635E-2</v>
      </c>
      <c r="D79" s="5">
        <f>'Clean Data'!E79/'Clean Data'!B79</f>
        <v>0.32958106789344049</v>
      </c>
      <c r="E79" s="5">
        <f>'Clean Data'!F79/'Clean Data'!B79</f>
        <v>0.20681582313668118</v>
      </c>
      <c r="F79" s="5">
        <f>'Clean Data'!G79/'Clean Data'!B79</f>
        <v>0.1881670727619861</v>
      </c>
    </row>
    <row r="80" spans="1:6" x14ac:dyDescent="0.2">
      <c r="A80" s="3" t="str">
        <f>'Clean Data'!A80</f>
        <v>2019-07-01</v>
      </c>
      <c r="B80" s="5">
        <f>'Clean Data'!C80/'Clean Data'!B80</f>
        <v>0.55278761138633803</v>
      </c>
      <c r="C80" s="5">
        <f>'Clean Data'!D80/'Clean Data'!B80</f>
        <v>7.6316198847780306E-2</v>
      </c>
      <c r="D80" s="5">
        <f>'Clean Data'!E80/'Clean Data'!B80</f>
        <v>0.32855636778308378</v>
      </c>
      <c r="E80" s="5">
        <f>'Clean Data'!F80/'Clean Data'!B80</f>
        <v>0.20873126658912114</v>
      </c>
      <c r="F80" s="5">
        <f>'Clean Data'!G80/'Clean Data'!B80</f>
        <v>0.18554588118782481</v>
      </c>
    </row>
    <row r="81" spans="1:6" x14ac:dyDescent="0.2">
      <c r="A81" s="3" t="str">
        <f>'Clean Data'!A81</f>
        <v>2019-10-01</v>
      </c>
      <c r="B81" s="5">
        <f>'Clean Data'!C81/'Clean Data'!B81</f>
        <v>0.55337274775597844</v>
      </c>
      <c r="C81" s="5">
        <f>'Clean Data'!D81/'Clean Data'!B81</f>
        <v>7.6325185238106955E-2</v>
      </c>
      <c r="D81" s="5">
        <f>'Clean Data'!E81/'Clean Data'!B81</f>
        <v>0.32569708403746261</v>
      </c>
      <c r="E81" s="5">
        <f>'Clean Data'!F81/'Clean Data'!B81</f>
        <v>0.20471291360051511</v>
      </c>
      <c r="F81" s="5">
        <f>'Clean Data'!G81/'Clean Data'!B81</f>
        <v>0.17915124324287712</v>
      </c>
    </row>
    <row r="82" spans="1:6" x14ac:dyDescent="0.2">
      <c r="A82" s="3" t="str">
        <f>'Clean Data'!A82</f>
        <v>2020-01-01</v>
      </c>
      <c r="B82" s="5">
        <f>'Clean Data'!C82/'Clean Data'!B82</f>
        <v>0.55567957118994904</v>
      </c>
      <c r="C82" s="5">
        <f>'Clean Data'!D82/'Clean Data'!B82</f>
        <v>7.9117130274505912E-2</v>
      </c>
      <c r="D82" s="5">
        <f>'Clean Data'!E82/'Clean Data'!B82</f>
        <v>0.32517699044069975</v>
      </c>
      <c r="E82" s="5">
        <f>'Clean Data'!F82/'Clean Data'!B82</f>
        <v>0.20391588566032051</v>
      </c>
      <c r="F82" s="5">
        <f>'Clean Data'!G82/'Clean Data'!B82</f>
        <v>0.1700703498319506</v>
      </c>
    </row>
    <row r="83" spans="1:6" x14ac:dyDescent="0.2">
      <c r="A83" s="3" t="str">
        <f>'Clean Data'!A83</f>
        <v>2020-04-01</v>
      </c>
      <c r="B83" s="5">
        <f>'Clean Data'!C83/'Clean Data'!B83</f>
        <v>0.55703130044490157</v>
      </c>
      <c r="C83" s="5">
        <f>'Clean Data'!D83/'Clean Data'!B83</f>
        <v>8.0527356716044621E-2</v>
      </c>
      <c r="D83" s="5">
        <f>'Clean Data'!E83/'Clean Data'!B83</f>
        <v>0.31771788852907368</v>
      </c>
      <c r="E83" s="5">
        <f>'Clean Data'!F83/'Clean Data'!B83</f>
        <v>0.18507602550185717</v>
      </c>
      <c r="F83" s="5">
        <f>'Clean Data'!G83/'Clean Data'!B83</f>
        <v>0.15000905700456407</v>
      </c>
    </row>
    <row r="84" spans="1:6" x14ac:dyDescent="0.2">
      <c r="A84" s="3" t="str">
        <f>'Clean Data'!A84</f>
        <v>2020-07-01</v>
      </c>
      <c r="B84" s="5">
        <f>'Clean Data'!C84/'Clean Data'!B84</f>
        <v>0.54952386241689977</v>
      </c>
      <c r="C84" s="5">
        <f>'Clean Data'!D84/'Clean Data'!B84</f>
        <v>8.6511776096413293E-2</v>
      </c>
      <c r="D84" s="5">
        <f>'Clean Data'!E84/'Clean Data'!B84</f>
        <v>0.31684976579378066</v>
      </c>
      <c r="E84" s="5">
        <f>'Clean Data'!F84/'Clean Data'!B84</f>
        <v>0.19101099053740878</v>
      </c>
      <c r="F84" s="5">
        <f>'Clean Data'!G84/'Clean Data'!B84</f>
        <v>0.15093972815725068</v>
      </c>
    </row>
    <row r="85" spans="1:6" x14ac:dyDescent="0.2">
      <c r="A85" s="3" t="str">
        <f>'Clean Data'!A85</f>
        <v>2020-10-01</v>
      </c>
      <c r="B85" s="5">
        <f>'Clean Data'!C85/'Clean Data'!B85</f>
        <v>0.54276267060802064</v>
      </c>
      <c r="C85" s="5">
        <f>'Clean Data'!D85/'Clean Data'!B85</f>
        <v>8.002340289432619E-2</v>
      </c>
      <c r="D85" s="5">
        <f>'Clean Data'!E85/'Clean Data'!B85</f>
        <v>0.31550149657657084</v>
      </c>
      <c r="E85" s="5">
        <f>'Clean Data'!F85/'Clean Data'!B85</f>
        <v>0.19664968920050455</v>
      </c>
      <c r="F85" s="5">
        <f>'Clean Data'!G85/'Clean Data'!B85</f>
        <v>0.15717787066390049</v>
      </c>
    </row>
    <row r="86" spans="1:6" x14ac:dyDescent="0.2">
      <c r="A86" s="3" t="str">
        <f>'Clean Data'!A86</f>
        <v>2021-01-01</v>
      </c>
      <c r="B86" s="5">
        <f>'Clean Data'!C86/'Clean Data'!B86</f>
        <v>0.54319352901068529</v>
      </c>
      <c r="C86" s="5">
        <f>'Clean Data'!D86/'Clean Data'!B86</f>
        <v>8.1648794087478507E-2</v>
      </c>
      <c r="D86" s="5">
        <f>'Clean Data'!E86/'Clean Data'!B86</f>
        <v>0.31862962570331976</v>
      </c>
      <c r="E86" s="5">
        <f>'Clean Data'!F86/'Clean Data'!B86</f>
        <v>0.21016892294509715</v>
      </c>
      <c r="F86" s="5">
        <f>'Clean Data'!G86/'Clean Data'!B86</f>
        <v>0.17668922042876245</v>
      </c>
    </row>
    <row r="87" spans="1:6" x14ac:dyDescent="0.2">
      <c r="A87" s="3" t="str">
        <f>'Clean Data'!A87</f>
        <v>2021-04-01</v>
      </c>
      <c r="B87" s="5">
        <f>'Clean Data'!C87/'Clean Data'!B87</f>
        <v>0.54545680255747764</v>
      </c>
      <c r="C87" s="5">
        <f>'Clean Data'!D87/'Clean Data'!B87</f>
        <v>8.1439842984314989E-2</v>
      </c>
      <c r="D87" s="5">
        <f>'Clean Data'!E87/'Clean Data'!B87</f>
        <v>0.32006329252259291</v>
      </c>
      <c r="E87" s="5">
        <f>'Clean Data'!F87/'Clean Data'!B87</f>
        <v>0.21813028520546346</v>
      </c>
      <c r="F87" s="5">
        <f>'Clean Data'!G87/'Clean Data'!B87</f>
        <v>0.1859649650982893</v>
      </c>
    </row>
    <row r="88" spans="1:6" x14ac:dyDescent="0.2">
      <c r="A88" s="3" t="str">
        <f>'Clean Data'!A88</f>
        <v>2021-07-01</v>
      </c>
      <c r="B88" s="5">
        <f>'Clean Data'!C88/'Clean Data'!B88</f>
        <v>0.53970582488045449</v>
      </c>
      <c r="C88" s="5">
        <f>'Clean Data'!D88/'Clean Data'!B88</f>
        <v>8.3934503148189177E-2</v>
      </c>
      <c r="D88" s="5">
        <f>'Clean Data'!E88/'Clean Data'!B88</f>
        <v>0.3210284017234179</v>
      </c>
      <c r="E88" s="5">
        <f>'Clean Data'!F88/'Clean Data'!B88</f>
        <v>0.22461845458160332</v>
      </c>
      <c r="F88" s="5">
        <f>'Clean Data'!G88/'Clean Data'!B88</f>
        <v>0.19052344177996478</v>
      </c>
    </row>
    <row r="89" spans="1:6" x14ac:dyDescent="0.2">
      <c r="A89" s="3" t="str">
        <f>'Clean Data'!A89</f>
        <v>2021-10-01</v>
      </c>
      <c r="B89" s="5">
        <f>'Clean Data'!C89/'Clean Data'!B89</f>
        <v>0.5404262145752724</v>
      </c>
      <c r="C89" s="5">
        <f>'Clean Data'!D89/'Clean Data'!B89</f>
        <v>8.0815235767189061E-2</v>
      </c>
      <c r="D89" s="5">
        <f>'Clean Data'!E89/'Clean Data'!B89</f>
        <v>0.31702523353137374</v>
      </c>
      <c r="E89" s="5">
        <f>'Clean Data'!F89/'Clean Data'!B89</f>
        <v>0.23119478156255394</v>
      </c>
      <c r="F89" s="5">
        <f>'Clean Data'!G89/'Clean Data'!B89</f>
        <v>0.20356747460186586</v>
      </c>
    </row>
    <row r="90" spans="1:6" x14ac:dyDescent="0.2">
      <c r="A90" s="3" t="str">
        <f>'Clean Data'!A90</f>
        <v>2022-01-01</v>
      </c>
      <c r="B90" s="5">
        <f>'Clean Data'!C90/'Clean Data'!B90</f>
        <v>0.54046882064667756</v>
      </c>
      <c r="C90" s="5">
        <f>'Clean Data'!D90/'Clean Data'!B90</f>
        <v>7.2677681197137314E-2</v>
      </c>
      <c r="D90" s="5">
        <f>'Clean Data'!E90/'Clean Data'!B90</f>
        <v>0.31711482866256141</v>
      </c>
      <c r="E90" s="5">
        <f>'Clean Data'!F90/'Clean Data'!B90</f>
        <v>0.23379457706661491</v>
      </c>
      <c r="F90" s="5">
        <f>'Clean Data'!G90/'Clean Data'!B90</f>
        <v>0.20225169732950923</v>
      </c>
    </row>
    <row r="91" spans="1:6" x14ac:dyDescent="0.2">
      <c r="A91" s="3" t="str">
        <f>'Clean Data'!A91</f>
        <v>2022-04-01</v>
      </c>
      <c r="B91" s="5">
        <f>'Clean Data'!C91/'Clean Data'!B91</f>
        <v>0.54097995635585416</v>
      </c>
      <c r="C91" s="5">
        <f>'Clean Data'!D91/'Clean Data'!B91</f>
        <v>7.3598535367680712E-2</v>
      </c>
      <c r="D91" s="5">
        <f>'Clean Data'!E91/'Clean Data'!B91</f>
        <v>0.31521569384112208</v>
      </c>
      <c r="E91" s="5">
        <f>'Clean Data'!F91/'Clean Data'!B91</f>
        <v>0.24594843413095843</v>
      </c>
      <c r="F91" s="5">
        <f>'Clean Data'!G91/'Clean Data'!B91</f>
        <v>0.2067461288672717</v>
      </c>
    </row>
    <row r="92" spans="1:6" x14ac:dyDescent="0.2">
      <c r="A92" s="3" t="str">
        <f>'Clean Data'!A92</f>
        <v>2022-07-01</v>
      </c>
      <c r="B92" s="5">
        <f>'Clean Data'!C92/'Clean Data'!B92</f>
        <v>0.53928438836426285</v>
      </c>
      <c r="C92" s="5">
        <f>'Clean Data'!D92/'Clean Data'!B92</f>
        <v>7.7390029015339964E-2</v>
      </c>
      <c r="D92" s="5">
        <f>'Clean Data'!E92/'Clean Data'!B92</f>
        <v>0.31423060224393284</v>
      </c>
      <c r="E92" s="5">
        <f>'Clean Data'!F92/'Clean Data'!B92</f>
        <v>0.2505242292875613</v>
      </c>
      <c r="F92" s="5">
        <f>'Clean Data'!G92/'Clean Data'!B92</f>
        <v>0.2151153447180438</v>
      </c>
    </row>
    <row r="93" spans="1:6" x14ac:dyDescent="0.2">
      <c r="A93" s="3" t="str">
        <f>'Clean Data'!A93</f>
        <v>2022-10-01</v>
      </c>
      <c r="B93" s="5">
        <f>'Clean Data'!C93/'Clean Data'!B93</f>
        <v>0.5407491776302582</v>
      </c>
      <c r="C93" s="5">
        <f>'Clean Data'!D93/'Clean Data'!B93</f>
        <v>7.3820122743306946E-2</v>
      </c>
      <c r="D93" s="5">
        <f>'Clean Data'!E93/'Clean Data'!B93</f>
        <v>0.31278827512663832</v>
      </c>
      <c r="E93" s="5">
        <f>'Clean Data'!F93/'Clean Data'!B93</f>
        <v>0.24572607212199113</v>
      </c>
      <c r="F93" s="5">
        <f>'Clean Data'!G93/'Clean Data'!B93</f>
        <v>0.20273541128129308</v>
      </c>
    </row>
    <row r="94" spans="1:6" x14ac:dyDescent="0.2">
      <c r="A94" s="3" t="str">
        <f>'Clean Data'!A94</f>
        <v>2023-01-01</v>
      </c>
      <c r="B94" s="5">
        <f>'Clean Data'!C94/'Clean Data'!B94</f>
        <v>0.53944313488108342</v>
      </c>
      <c r="C94" s="5">
        <f>'Clean Data'!D94/'Clean Data'!B94</f>
        <v>7.1048062954102528E-2</v>
      </c>
      <c r="D94" s="5">
        <f>'Clean Data'!E94/'Clean Data'!B94</f>
        <v>0.31150460285901177</v>
      </c>
      <c r="E94" s="5">
        <f>'Clean Data'!F94/'Clean Data'!B94</f>
        <v>0.24439001065730986</v>
      </c>
      <c r="F94" s="5">
        <f>'Clean Data'!G94/'Clean Data'!B94</f>
        <v>0.20071557012367824</v>
      </c>
    </row>
    <row r="95" spans="1:6" x14ac:dyDescent="0.2">
      <c r="A95" s="3" t="str">
        <f>'Clean Data'!A95</f>
        <v>2023-04-01</v>
      </c>
      <c r="B95" s="5">
        <f>'Clean Data'!C95/'Clean Data'!B95</f>
        <v>0.54025807141898963</v>
      </c>
      <c r="C95" s="5">
        <f>'Clean Data'!D95/'Clean Data'!B95</f>
        <v>7.7160607338197768E-2</v>
      </c>
      <c r="D95" s="5">
        <f>'Clean Data'!E95/'Clean Data'!B95</f>
        <v>0.3111380150426295</v>
      </c>
      <c r="E95" s="5">
        <f>'Clean Data'!F95/'Clean Data'!B95</f>
        <v>0.23334088996023236</v>
      </c>
      <c r="F95" s="5">
        <f>'Clean Data'!G95/'Clean Data'!B95</f>
        <v>0.1937094766001444</v>
      </c>
    </row>
    <row r="96" spans="1:6" x14ac:dyDescent="0.2">
      <c r="A96" s="3" t="str">
        <f>'Clean Data'!A96</f>
        <v>2023-07-01</v>
      </c>
      <c r="B96" s="5">
        <f>'Clean Data'!C96/'Clean Data'!B96</f>
        <v>0.53986561633290087</v>
      </c>
      <c r="C96" s="5">
        <f>'Clean Data'!D96/'Clean Data'!B96</f>
        <v>7.1222118657386271E-2</v>
      </c>
      <c r="D96" s="5">
        <f>'Clean Data'!E96/'Clean Data'!B96</f>
        <v>0.3106625037664198</v>
      </c>
      <c r="E96" s="5">
        <f>'Clean Data'!F96/'Clean Data'!B96</f>
        <v>0.23217072591576265</v>
      </c>
      <c r="F96" s="5">
        <f>'Clean Data'!G96/'Clean Data'!B96</f>
        <v>0.18983560385421422</v>
      </c>
    </row>
    <row r="97" spans="1:6" x14ac:dyDescent="0.2">
      <c r="A97" s="3" t="str">
        <f>'Clean Data'!A97</f>
        <v>2023-10-01</v>
      </c>
      <c r="B97" s="5">
        <f>'Clean Data'!C97/'Clean Data'!B97</f>
        <v>0.53973348988115999</v>
      </c>
      <c r="C97" s="5">
        <f>'Clean Data'!D97/'Clean Data'!B97</f>
        <v>7.235107381687321E-2</v>
      </c>
      <c r="D97" s="5">
        <f>'Clean Data'!E97/'Clean Data'!B97</f>
        <v>0.31054377728537341</v>
      </c>
      <c r="E97" s="5">
        <f>'Clean Data'!F97/'Clean Data'!B97</f>
        <v>0.23561624548485618</v>
      </c>
      <c r="F97" s="5">
        <f>'Clean Data'!G97/'Clean Data'!B97</f>
        <v>0.19327138490845336</v>
      </c>
    </row>
    <row r="98" spans="1:6" x14ac:dyDescent="0.2">
      <c r="A98" s="3" t="str">
        <f>'Clean Data'!A98</f>
        <v>2024-01-01</v>
      </c>
      <c r="B98" s="5">
        <f>'Clean Data'!C98/'Clean Data'!B98</f>
        <v>0.54027710472239165</v>
      </c>
      <c r="C98" s="5">
        <f>'Clean Data'!D98/'Clean Data'!B98</f>
        <v>7.9896215391553921E-2</v>
      </c>
      <c r="D98" s="5">
        <f>'Clean Data'!E98/'Clean Data'!B98</f>
        <v>0.31044597485443176</v>
      </c>
      <c r="E98" s="5">
        <f>'Clean Data'!F98/'Clean Data'!B98</f>
        <v>0.23636418782389079</v>
      </c>
      <c r="F98" s="5">
        <f>'Clean Data'!G98/'Clean Data'!B98</f>
        <v>0.1967500276965676</v>
      </c>
    </row>
    <row r="99" spans="1:6" x14ac:dyDescent="0.2">
      <c r="A99" s="3" t="str">
        <f>'Clean Data'!A99</f>
        <v>2024-04-01</v>
      </c>
      <c r="B99" s="5">
        <f>'Clean Data'!C99/'Clean Data'!B99</f>
        <v>0.54008053527705535</v>
      </c>
      <c r="C99" s="5">
        <f>'Clean Data'!D99/'Clean Data'!B99</f>
        <v>7.4348547207594665E-2</v>
      </c>
      <c r="D99" s="5">
        <f>'Clean Data'!E99/'Clean Data'!B99</f>
        <v>0.30959216740668705</v>
      </c>
      <c r="E99" s="5">
        <f>'Clean Data'!F99/'Clean Data'!B99</f>
        <v>0.23875903435196874</v>
      </c>
      <c r="F99" s="5">
        <f>'Clean Data'!G99/'Clean Data'!B99</f>
        <v>0.19661677209644685</v>
      </c>
    </row>
    <row r="100" spans="1:6" x14ac:dyDescent="0.2">
      <c r="A100" s="3" t="str">
        <f>'Clean Data'!A100</f>
        <v>2024-07-01</v>
      </c>
      <c r="B100" s="5">
        <f>'Clean Data'!C100/'Clean Data'!B100</f>
        <v>0.54034593880383808</v>
      </c>
      <c r="C100" s="5">
        <f>'Clean Data'!D100/'Clean Data'!B100</f>
        <v>7.0675580874048446E-2</v>
      </c>
      <c r="D100" s="5">
        <f>'Clean Data'!E100/'Clean Data'!B100</f>
        <v>0.30969544454989673</v>
      </c>
      <c r="E100" s="5">
        <f>'Clean Data'!F100/'Clean Data'!B100</f>
        <v>0.2412275602700811</v>
      </c>
      <c r="F100" s="5">
        <f>'Clean Data'!G100/'Clean Data'!B100</f>
        <v>0.20403402656110045</v>
      </c>
    </row>
    <row r="101" spans="1:6" x14ac:dyDescent="0.2">
      <c r="A101" s="3" t="str">
        <f>'Clean Data'!A101</f>
        <v>2024-10-01</v>
      </c>
      <c r="B101" s="5">
        <f>'Clean Data'!C101/'Clean Data'!B101</f>
        <v>0.54020887806216233</v>
      </c>
      <c r="C101" s="5">
        <f>'Clean Data'!D101/'Clean Data'!B101</f>
        <v>7.1408904654835431E-2</v>
      </c>
      <c r="D101" s="5">
        <f>'Clean Data'!E101/'Clean Data'!B101</f>
        <v>0.30915215883244784</v>
      </c>
      <c r="E101" s="5">
        <f>'Clean Data'!F101/'Clean Data'!B101</f>
        <v>0.24519249420131761</v>
      </c>
      <c r="F101" s="5">
        <f>'Clean Data'!G101/'Clean Data'!B101</f>
        <v>0.20286662770142924</v>
      </c>
    </row>
    <row r="102" spans="1:6" x14ac:dyDescent="0.2">
      <c r="A102" s="3" t="str">
        <f>'Clean Data'!A102</f>
        <v>2025-01-01</v>
      </c>
      <c r="B102" s="5">
        <f>'Clean Data'!C102/'Clean Data'!B102</f>
        <v>0.53978935769187331</v>
      </c>
      <c r="C102" s="5">
        <f>'Clean Data'!D102/'Clean Data'!B102</f>
        <v>7.4425323435590524E-2</v>
      </c>
      <c r="D102" s="5">
        <f>'Clean Data'!E102/'Clean Data'!B102</f>
        <v>0.30859427456597266</v>
      </c>
      <c r="E102" s="5">
        <f>'Clean Data'!F102/'Clean Data'!B102</f>
        <v>0.24440610089118475</v>
      </c>
      <c r="F102" s="5">
        <f>'Clean Data'!G102/'Clean Data'!B102</f>
        <v>0.19753919381639781</v>
      </c>
    </row>
    <row r="103" spans="1:6" x14ac:dyDescent="0.2">
      <c r="A103" s="3" t="str">
        <f>'Clean Data'!A103</f>
        <v>2025-04-01</v>
      </c>
      <c r="B103" s="5">
        <f>'Clean Data'!C103/'Clean Data'!B103</f>
        <v>0.53995689161988281</v>
      </c>
      <c r="C103" s="5">
        <f>'Clean Data'!D103/'Clean Data'!B103</f>
        <v>0</v>
      </c>
      <c r="D103" s="5">
        <f>'Clean Data'!E103/'Clean Data'!B103</f>
        <v>0.30966269162878501</v>
      </c>
      <c r="E103" s="5">
        <f>'Clean Data'!F103/'Clean Data'!B103</f>
        <v>0.24675130946309745</v>
      </c>
      <c r="F103" s="5">
        <f>'Clean Data'!G103/'Clean Data'!B103</f>
        <v>0.20325531710624878</v>
      </c>
    </row>
    <row r="104" spans="1:6" x14ac:dyDescent="0.2">
      <c r="A104" s="3" t="str">
        <f>'Clean Data'!A104</f>
        <v>2025-07-01</v>
      </c>
      <c r="B104" s="5">
        <f>'Clean Data'!C104/'Clean Data'!B104</f>
        <v>0.5394862784680805</v>
      </c>
      <c r="C104" s="5">
        <f>'Clean Data'!D104/'Clean Data'!B104</f>
        <v>0</v>
      </c>
      <c r="D104" s="5">
        <f>'Clean Data'!E104/'Clean Data'!B104</f>
        <v>0.31015652037256453</v>
      </c>
      <c r="E104" s="5">
        <f>'Clean Data'!F104/'Clean Data'!B104</f>
        <v>0.24679570543089407</v>
      </c>
      <c r="F104" s="5">
        <f>'Clean Data'!G104/'Clean Data'!B104</f>
        <v>0.1976145002649102</v>
      </c>
    </row>
    <row r="105" spans="1:6" x14ac:dyDescent="0.2">
      <c r="A105" s="3" t="str">
        <f>'Clean Data'!A105</f>
        <v>2025-10-01</v>
      </c>
      <c r="B105" s="5">
        <f>'Clean Data'!C105/'Clean Data'!B105</f>
        <v>0.53911771462213942</v>
      </c>
      <c r="C105" s="5">
        <f>'Clean Data'!D105/'Clean Data'!B105</f>
        <v>0</v>
      </c>
      <c r="D105" s="5">
        <f>'Clean Data'!E105/'Clean Data'!B105</f>
        <v>0.31020671414016943</v>
      </c>
      <c r="E105" s="5">
        <f>'Clean Data'!F105/'Clean Data'!B105</f>
        <v>0.24144867744615237</v>
      </c>
      <c r="F105" s="5">
        <f>'Clean Data'!G105/'Clean Data'!B105</f>
        <v>0.19943108324281816</v>
      </c>
    </row>
    <row r="106" spans="1:6" x14ac:dyDescent="0.2">
      <c r="A106" s="3" t="str">
        <f>'Clean Data'!A106</f>
        <v>2026-01-01</v>
      </c>
      <c r="B106" s="5">
        <f>'Clean Data'!C106/'Clean Data'!B106</f>
        <v>0.53879340763904648</v>
      </c>
      <c r="C106" s="5">
        <f>'Clean Data'!D106/'Clean Data'!B106</f>
        <v>0</v>
      </c>
      <c r="D106" s="5">
        <f>'Clean Data'!E106/'Clean Data'!B106</f>
        <v>0.31034004622399169</v>
      </c>
      <c r="E106" s="5">
        <f>'Clean Data'!F106/'Clean Data'!B106</f>
        <v>0.23492472113864152</v>
      </c>
      <c r="F106" s="5">
        <f>'Clean Data'!G106/'Clean Data'!B106</f>
        <v>0.19703551185153304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zoomScaleNormal="100" workbookViewId="0">
      <selection activeCell="N21" sqref="M21:N23"/>
    </sheetView>
  </sheetViews>
  <sheetFormatPr baseColWidth="10" defaultColWidth="8.6640625" defaultRowHeight="15" customHeight="1" x14ac:dyDescent="0.2"/>
  <cols>
    <col min="1" max="1" width="10.5" bestFit="1" customWidth="1"/>
    <col min="2" max="2" width="24" bestFit="1" customWidth="1"/>
    <col min="3" max="3" width="28.6640625" bestFit="1" customWidth="1"/>
    <col min="4" max="4" width="15.33203125" bestFit="1" customWidth="1"/>
    <col min="5" max="5" width="12" bestFit="1" customWidth="1"/>
    <col min="6" max="6" width="12.3320312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6" spans="1:6" x14ac:dyDescent="0.2">
      <c r="A6" s="3" t="str">
        <f>'Clean Data'!A6</f>
        <v>2001-01-01</v>
      </c>
      <c r="B6" s="5">
        <f>('Clean Data'!C6-'Clean Data'!C2)/'Clean Data'!B2</f>
        <v>2.1462831490176595E-2</v>
      </c>
      <c r="C6" s="5">
        <f>('Clean Data'!D6-'Clean Data'!D2)/'Clean Data'!B2</f>
        <v>4.1983359747710305E-3</v>
      </c>
      <c r="D6" s="5">
        <f>('Clean Data'!E6-'Clean Data'!E2)/'Clean Data'!B2</f>
        <v>4.5553202853415097E-2</v>
      </c>
      <c r="E6" s="5">
        <f>('Clean Data'!F6-'Clean Data'!F2)/'Clean Data'!B2</f>
        <v>3.336717321292617E-2</v>
      </c>
      <c r="F6" s="5">
        <f>-('Clean Data'!G6-'Clean Data'!G2)/'Clean Data'!B2</f>
        <v>-5.7483048655509288E-2</v>
      </c>
    </row>
    <row r="7" spans="1:6" x14ac:dyDescent="0.2">
      <c r="A7" s="3" t="str">
        <f>'Clean Data'!A7</f>
        <v>2001-04-01</v>
      </c>
      <c r="B7" s="5">
        <f>('Clean Data'!C7-'Clean Data'!C3)/'Clean Data'!B3</f>
        <v>1.6624100925753678E-2</v>
      </c>
      <c r="C7" s="5">
        <f>('Clean Data'!D7-'Clean Data'!D3)/'Clean Data'!B3</f>
        <v>4.6799100812510968E-3</v>
      </c>
      <c r="D7" s="5">
        <f>('Clean Data'!E7-'Clean Data'!E3)/'Clean Data'!B3</f>
        <v>2.9638379494503264E-2</v>
      </c>
      <c r="E7" s="5">
        <f>('Clean Data'!F7-'Clean Data'!F3)/'Clean Data'!B3</f>
        <v>7.0623124285743143E-3</v>
      </c>
      <c r="F7" s="5">
        <f>-('Clean Data'!G7-'Clean Data'!G3)/'Clean Data'!B3</f>
        <v>-5.093936305128767E-2</v>
      </c>
    </row>
    <row r="8" spans="1:6" x14ac:dyDescent="0.2">
      <c r="A8" s="3" t="str">
        <f>'Clean Data'!A8</f>
        <v>2001-07-01</v>
      </c>
      <c r="B8" s="5">
        <f>('Clean Data'!C8-'Clean Data'!C4)/'Clean Data'!B4</f>
        <v>2.4436344993773809E-2</v>
      </c>
      <c r="C8" s="5">
        <f>('Clean Data'!D8-'Clean Data'!D4)/'Clean Data'!B4</f>
        <v>5.623027422307433E-3</v>
      </c>
      <c r="D8" s="5">
        <f>('Clean Data'!E8-'Clean Data'!E4)/'Clean Data'!B4</f>
        <v>-7.0738172546668313E-4</v>
      </c>
      <c r="E8" s="5">
        <f>('Clean Data'!F8-'Clean Data'!F4)/'Clean Data'!B4</f>
        <v>-1.1438166142011413E-2</v>
      </c>
      <c r="F8" s="5">
        <f>-('Clean Data'!G8-'Clean Data'!G4)/'Clean Data'!B4</f>
        <v>1.0351888774000121E-2</v>
      </c>
    </row>
    <row r="9" spans="1:6" x14ac:dyDescent="0.2">
      <c r="A9" s="3" t="str">
        <f>'Clean Data'!A9</f>
        <v>2001-10-01</v>
      </c>
      <c r="B9" s="5">
        <f>('Clean Data'!C9-'Clean Data'!C5)/'Clean Data'!B5</f>
        <v>2.3824789635402788E-2</v>
      </c>
      <c r="C9" s="5">
        <f>('Clean Data'!D9-'Clean Data'!D5)/'Clean Data'!B5</f>
        <v>6.5204993982409002E-3</v>
      </c>
      <c r="D9" s="5">
        <f>('Clean Data'!E9-'Clean Data'!E5)/'Clean Data'!B5</f>
        <v>-5.327577864774293E-3</v>
      </c>
      <c r="E9" s="5">
        <f>('Clean Data'!F9-'Clean Data'!F5)/'Clean Data'!B5</f>
        <v>-2.2476950475457939E-2</v>
      </c>
      <c r="F9" s="5">
        <f>-('Clean Data'!G9-'Clean Data'!G5)/'Clean Data'!B5</f>
        <v>6.4052359657201324E-2</v>
      </c>
    </row>
    <row r="10" spans="1:6" x14ac:dyDescent="0.2">
      <c r="A10" s="3" t="str">
        <f>'Clean Data'!A10</f>
        <v>2002-01-01</v>
      </c>
      <c r="B10" s="5">
        <f>('Clean Data'!C10-'Clean Data'!C6)/'Clean Data'!B6</f>
        <v>2.5512150526592423E-2</v>
      </c>
      <c r="C10" s="5">
        <f>('Clean Data'!D10-'Clean Data'!D6)/'Clean Data'!B6</f>
        <v>8.0240022028823486E-3</v>
      </c>
      <c r="D10" s="5">
        <f>('Clean Data'!E10-'Clean Data'!E6)/'Clean Data'!B6</f>
        <v>-7.0801413986266099E-3</v>
      </c>
      <c r="E10" s="5">
        <f>('Clean Data'!F10-'Clean Data'!F6)/'Clean Data'!B6</f>
        <v>-1.0396587432185736E-2</v>
      </c>
      <c r="F10" s="5">
        <f>-('Clean Data'!G10-'Clean Data'!G6)/'Clean Data'!B6</f>
        <v>2.7559431860847569E-2</v>
      </c>
    </row>
    <row r="11" spans="1:6" x14ac:dyDescent="0.2">
      <c r="A11" s="3" t="str">
        <f>'Clean Data'!A11</f>
        <v>2002-04-01</v>
      </c>
      <c r="B11" s="5">
        <f>('Clean Data'!C11-'Clean Data'!C7)/'Clean Data'!B7</f>
        <v>2.4709437145425114E-2</v>
      </c>
      <c r="C11" s="5">
        <f>('Clean Data'!D11-'Clean Data'!D7)/'Clean Data'!B7</f>
        <v>9.0114580458882688E-3</v>
      </c>
      <c r="D11" s="5">
        <f>('Clean Data'!E11-'Clean Data'!E7)/'Clean Data'!B7</f>
        <v>-3.6863781936527953E-3</v>
      </c>
      <c r="E11" s="5">
        <f>('Clean Data'!F11-'Clean Data'!F7)/'Clean Data'!B7</f>
        <v>-1.2004852122913379E-2</v>
      </c>
      <c r="F11" s="5">
        <f>-('Clean Data'!G11-'Clean Data'!G7)/'Clean Data'!B7</f>
        <v>3.1189660244631705E-2</v>
      </c>
    </row>
    <row r="12" spans="1:6" x14ac:dyDescent="0.2">
      <c r="A12" s="3" t="str">
        <f>'Clean Data'!A12</f>
        <v>2002-07-01</v>
      </c>
      <c r="B12" s="5">
        <f>('Clean Data'!C12-'Clean Data'!C8)/'Clean Data'!B8</f>
        <v>2.2465912055287529E-2</v>
      </c>
      <c r="C12" s="5">
        <f>('Clean Data'!D12-'Clean Data'!D8)/'Clean Data'!B8</f>
        <v>1.0412567120523001E-2</v>
      </c>
      <c r="D12" s="5">
        <f>('Clean Data'!E12-'Clean Data'!E8)/'Clean Data'!B8</f>
        <v>2.8085528488650369E-2</v>
      </c>
      <c r="E12" s="5">
        <f>('Clean Data'!F12-'Clean Data'!F8)/'Clean Data'!B8</f>
        <v>4.4615941439457235E-3</v>
      </c>
      <c r="F12" s="5">
        <f>-('Clean Data'!G12-'Clean Data'!G8)/'Clean Data'!B8</f>
        <v>-5.0926082115362072E-3</v>
      </c>
    </row>
    <row r="13" spans="1:6" x14ac:dyDescent="0.2">
      <c r="A13" s="3" t="str">
        <f>'Clean Data'!A13</f>
        <v>2002-10-01</v>
      </c>
      <c r="B13" s="5">
        <f>('Clean Data'!C13-'Clean Data'!C9)/'Clean Data'!B9</f>
        <v>2.2210931624794733E-2</v>
      </c>
      <c r="C13" s="5">
        <f>('Clean Data'!D13-'Clean Data'!D9)/'Clean Data'!B9</f>
        <v>1.012986377378345E-2</v>
      </c>
      <c r="D13" s="5">
        <f>('Clean Data'!E13-'Clean Data'!E9)/'Clean Data'!B9</f>
        <v>3.2485500615214651E-2</v>
      </c>
      <c r="E13" s="5">
        <f>('Clean Data'!F13-'Clean Data'!F9)/'Clean Data'!B9</f>
        <v>8.3379660882563749E-3</v>
      </c>
      <c r="F13" s="5">
        <f>-('Clean Data'!G13-'Clean Data'!G9)/'Clean Data'!B9</f>
        <v>-2.234248287411696E-2</v>
      </c>
    </row>
    <row r="14" spans="1:6" x14ac:dyDescent="0.2">
      <c r="A14" s="3" t="str">
        <f>'Clean Data'!A14</f>
        <v>2003-01-01</v>
      </c>
      <c r="B14" s="5">
        <f>('Clean Data'!C14-'Clean Data'!C10)/'Clean Data'!B10</f>
        <v>2.0942333373407084E-2</v>
      </c>
      <c r="C14" s="5">
        <f>('Clean Data'!D14-'Clean Data'!D10)/'Clean Data'!B10</f>
        <v>8.0095041380491422E-3</v>
      </c>
      <c r="D14" s="5">
        <f>('Clean Data'!E14-'Clean Data'!E10)/'Clean Data'!B10</f>
        <v>4.6275980629377385E-3</v>
      </c>
      <c r="E14" s="5">
        <f>('Clean Data'!F14-'Clean Data'!F10)/'Clean Data'!B10</f>
        <v>1.2078117445477245E-2</v>
      </c>
      <c r="F14" s="5">
        <f>-('Clean Data'!G14-'Clean Data'!G10)/'Clean Data'!B10</f>
        <v>-8.0692018029456126E-3</v>
      </c>
    </row>
    <row r="15" spans="1:6" x14ac:dyDescent="0.2">
      <c r="A15" s="3" t="str">
        <f>'Clean Data'!A15</f>
        <v>2003-04-01</v>
      </c>
      <c r="B15" s="5">
        <f>('Clean Data'!C15-'Clean Data'!C11)/'Clean Data'!B11</f>
        <v>2.1508930559037354E-2</v>
      </c>
      <c r="C15" s="5">
        <f>('Clean Data'!D15-'Clean Data'!D11)/'Clean Data'!B11</f>
        <v>8.2515615956530227E-3</v>
      </c>
      <c r="D15" s="5">
        <f>('Clean Data'!E15-'Clean Data'!E11)/'Clean Data'!B11</f>
        <v>1.0884237893947258E-3</v>
      </c>
      <c r="E15" s="5">
        <f>('Clean Data'!F15-'Clean Data'!F11)/'Clean Data'!B11</f>
        <v>1.7580096024160281E-2</v>
      </c>
      <c r="F15" s="5">
        <f>-('Clean Data'!G15-'Clean Data'!G11)/'Clean Data'!B11</f>
        <v>3.153371609864367E-4</v>
      </c>
    </row>
    <row r="16" spans="1:6" x14ac:dyDescent="0.2">
      <c r="A16" s="3" t="str">
        <f>'Clean Data'!A16</f>
        <v>2003-07-01</v>
      </c>
      <c r="B16" s="5">
        <f>('Clean Data'!C16-'Clean Data'!C12)/'Clean Data'!B12</f>
        <v>2.3412734781489145E-2</v>
      </c>
      <c r="C16" s="5">
        <f>('Clean Data'!D16-'Clean Data'!D12)/'Clean Data'!B12</f>
        <v>7.7657724138383896E-3</v>
      </c>
      <c r="D16" s="5">
        <f>('Clean Data'!E16-'Clean Data'!E12)/'Clean Data'!B12</f>
        <v>7.5206765106781168E-4</v>
      </c>
      <c r="E16" s="5">
        <f>('Clean Data'!F16-'Clean Data'!F12)/'Clean Data'!B12</f>
        <v>4.5544699657585862E-3</v>
      </c>
      <c r="F16" s="5">
        <f>-('Clean Data'!G16-'Clean Data'!G12)/'Clean Data'!B12</f>
        <v>-2.414799493184171E-4</v>
      </c>
    </row>
    <row r="17" spans="1:6" x14ac:dyDescent="0.2">
      <c r="A17" s="3" t="str">
        <f>'Clean Data'!A17</f>
        <v>2003-10-01</v>
      </c>
      <c r="B17" s="5">
        <f>('Clean Data'!C17-'Clean Data'!C13)/'Clean Data'!B13</f>
        <v>2.9627209957182106E-2</v>
      </c>
      <c r="C17" s="5">
        <f>('Clean Data'!D17-'Clean Data'!D13)/'Clean Data'!B13</f>
        <v>7.3845002479433755E-3</v>
      </c>
      <c r="D17" s="5">
        <f>('Clean Data'!E17-'Clean Data'!E13)/'Clean Data'!B13</f>
        <v>6.1513825142709238E-5</v>
      </c>
      <c r="E17" s="5">
        <f>('Clean Data'!F17-'Clean Data'!F13)/'Clean Data'!B13</f>
        <v>8.7531849529318972E-3</v>
      </c>
      <c r="F17" s="5">
        <f>-('Clean Data'!G17-'Clean Data'!G13)/'Clean Data'!B13</f>
        <v>-2.451621318119759E-3</v>
      </c>
    </row>
    <row r="18" spans="1:6" x14ac:dyDescent="0.2">
      <c r="A18" s="3" t="str">
        <f>'Clean Data'!A18</f>
        <v>2004-01-01</v>
      </c>
      <c r="B18" s="5">
        <f>('Clean Data'!C18-'Clean Data'!C14)/'Clean Data'!B14</f>
        <v>3.4017430942432453E-2</v>
      </c>
      <c r="C18" s="5">
        <f>('Clean Data'!D18-'Clean Data'!D14)/'Clean Data'!B14</f>
        <v>8.2688171892678543E-3</v>
      </c>
      <c r="D18" s="5">
        <f>('Clean Data'!E18-'Clean Data'!E14)/'Clean Data'!B14</f>
        <v>2.8798982395214053E-2</v>
      </c>
      <c r="E18" s="5">
        <f>('Clean Data'!F18-'Clean Data'!F14)/'Clean Data'!B14</f>
        <v>6.1898660929170747E-3</v>
      </c>
      <c r="F18" s="5">
        <f>-('Clean Data'!G18-'Clean Data'!G14)/'Clean Data'!B14</f>
        <v>-2.88575025224217E-2</v>
      </c>
    </row>
    <row r="19" spans="1:6" x14ac:dyDescent="0.2">
      <c r="A19" s="3" t="str">
        <f>'Clean Data'!A19</f>
        <v>2004-04-01</v>
      </c>
      <c r="B19" s="5">
        <f>('Clean Data'!C19-'Clean Data'!C15)/'Clean Data'!B15</f>
        <v>3.2190269559021149E-2</v>
      </c>
      <c r="C19" s="5">
        <f>('Clean Data'!D19-'Clean Data'!D15)/'Clean Data'!B15</f>
        <v>5.0887988778287891E-3</v>
      </c>
      <c r="D19" s="5">
        <f>('Clean Data'!E19-'Clean Data'!E15)/'Clean Data'!B15</f>
        <v>3.283668062449157E-2</v>
      </c>
      <c r="E19" s="5">
        <f>('Clean Data'!F19-'Clean Data'!F15)/'Clean Data'!B15</f>
        <v>1.0932824717096456E-2</v>
      </c>
      <c r="F19" s="5">
        <f>-('Clean Data'!G19-'Clean Data'!G15)/'Clean Data'!B15</f>
        <v>-4.0536801781280635E-2</v>
      </c>
    </row>
    <row r="20" spans="1:6" x14ac:dyDescent="0.2">
      <c r="A20" s="3" t="str">
        <f>'Clean Data'!A20</f>
        <v>2004-07-01</v>
      </c>
      <c r="B20" s="5">
        <f>('Clean Data'!C20-'Clean Data'!C16)/'Clean Data'!B16</f>
        <v>3.0334877753359048E-2</v>
      </c>
      <c r="C20" s="5">
        <f>('Clean Data'!D20-'Clean Data'!D16)/'Clean Data'!B16</f>
        <v>1.2348059502849914E-3</v>
      </c>
      <c r="D20" s="5">
        <f>('Clean Data'!E20-'Clean Data'!E16)/'Clean Data'!B16</f>
        <v>4.5222108223920754E-2</v>
      </c>
      <c r="E20" s="5">
        <f>('Clean Data'!F20-'Clean Data'!F16)/'Clean Data'!B16</f>
        <v>4.0093081173034319E-2</v>
      </c>
      <c r="F20" s="5">
        <f>-('Clean Data'!G20-'Clean Data'!G16)/'Clean Data'!B16</f>
        <v>-4.9574956071800499E-2</v>
      </c>
    </row>
    <row r="21" spans="1:6" x14ac:dyDescent="0.2">
      <c r="A21" s="3" t="str">
        <f>'Clean Data'!A21</f>
        <v>2004-10-01</v>
      </c>
      <c r="B21" s="5">
        <f>('Clean Data'!C21-'Clean Data'!C17)/'Clean Data'!B17</f>
        <v>2.46358469453495E-2</v>
      </c>
      <c r="C21" s="5">
        <f>('Clean Data'!D21-'Clean Data'!D17)/'Clean Data'!B17</f>
        <v>-1.3086227691233685E-3</v>
      </c>
      <c r="D21" s="5">
        <f>('Clean Data'!E21-'Clean Data'!E17)/'Clean Data'!B17</f>
        <v>4.4147485330348193E-2</v>
      </c>
      <c r="E21" s="5">
        <f>('Clean Data'!F21-'Clean Data'!F17)/'Clean Data'!B17</f>
        <v>4.1531288670255732E-2</v>
      </c>
      <c r="F21" s="5">
        <f>-('Clean Data'!G21-'Clean Data'!G17)/'Clean Data'!B17</f>
        <v>-5.1522526403933115E-2</v>
      </c>
    </row>
    <row r="22" spans="1:6" x14ac:dyDescent="0.2">
      <c r="A22" s="3" t="str">
        <f>'Clean Data'!A22</f>
        <v>2005-01-01</v>
      </c>
      <c r="B22" s="5">
        <f>('Clean Data'!C22-'Clean Data'!C18)/'Clean Data'!B18</f>
        <v>2.1672435306236377E-2</v>
      </c>
      <c r="C22" s="5">
        <f>('Clean Data'!D22-'Clean Data'!D18)/'Clean Data'!B18</f>
        <v>-3.3128608997682303E-3</v>
      </c>
      <c r="D22" s="5">
        <f>('Clean Data'!E22-'Clean Data'!E18)/'Clean Data'!B18</f>
        <v>4.2949488455909367E-2</v>
      </c>
      <c r="E22" s="5">
        <f>('Clean Data'!F22-'Clean Data'!F18)/'Clean Data'!B18</f>
        <v>4.0740336587180646E-2</v>
      </c>
      <c r="F22" s="5">
        <f>-('Clean Data'!G22-'Clean Data'!G18)/'Clean Data'!B18</f>
        <v>-4.0697078924581874E-2</v>
      </c>
    </row>
    <row r="23" spans="1:6" x14ac:dyDescent="0.2">
      <c r="A23" s="3" t="str">
        <f>'Clean Data'!A23</f>
        <v>2005-04-01</v>
      </c>
      <c r="B23" s="5">
        <f>('Clean Data'!C23-'Clean Data'!C19)/'Clean Data'!B19</f>
        <v>2.3551161470097479E-2</v>
      </c>
      <c r="C23" s="5">
        <f>('Clean Data'!D23-'Clean Data'!D19)/'Clean Data'!B19</f>
        <v>-3.7638557239947769E-3</v>
      </c>
      <c r="D23" s="5">
        <f>('Clean Data'!E23-'Clean Data'!E19)/'Clean Data'!B19</f>
        <v>4.3534158840768417E-2</v>
      </c>
      <c r="E23" s="5">
        <f>('Clean Data'!F23-'Clean Data'!F19)/'Clean Data'!B19</f>
        <v>3.4744004162392261E-2</v>
      </c>
      <c r="F23" s="5">
        <f>-('Clean Data'!G23-'Clean Data'!G19)/'Clean Data'!B19</f>
        <v>-4.391936260862539E-2</v>
      </c>
    </row>
    <row r="24" spans="1:6" x14ac:dyDescent="0.2">
      <c r="A24" s="3" t="str">
        <f>'Clean Data'!A24</f>
        <v>2005-07-01</v>
      </c>
      <c r="B24" s="5">
        <f>('Clean Data'!C24-'Clean Data'!C20)/'Clean Data'!B20</f>
        <v>2.6162597670736861E-2</v>
      </c>
      <c r="C24" s="5">
        <f>('Clean Data'!D24-'Clean Data'!D20)/'Clean Data'!B20</f>
        <v>1.3324916832078747E-2</v>
      </c>
      <c r="D24" s="5">
        <f>('Clean Data'!E24-'Clean Data'!E20)/'Clean Data'!B20</f>
        <v>2.9646118325474771E-2</v>
      </c>
      <c r="E24" s="5">
        <f>('Clean Data'!F24-'Clean Data'!F20)/'Clean Data'!B20</f>
        <v>2.574965100826411E-2</v>
      </c>
      <c r="F24" s="5">
        <f>-('Clean Data'!G24-'Clean Data'!G20)/'Clean Data'!B20</f>
        <v>-3.5459750957004071E-2</v>
      </c>
    </row>
    <row r="25" spans="1:6" x14ac:dyDescent="0.2">
      <c r="A25" s="3" t="str">
        <f>'Clean Data'!A25</f>
        <v>2005-10-01</v>
      </c>
      <c r="B25" s="5">
        <f>('Clean Data'!C25-'Clean Data'!C21)/'Clean Data'!B21</f>
        <v>2.4793520650302749E-2</v>
      </c>
      <c r="C25" s="5">
        <f>('Clean Data'!D25-'Clean Data'!D21)/'Clean Data'!B21</f>
        <v>1.475991371935874E-2</v>
      </c>
      <c r="D25" s="5">
        <f>('Clean Data'!E25-'Clean Data'!E21)/'Clean Data'!B21</f>
        <v>7.4727492342129042E-3</v>
      </c>
      <c r="E25" s="5">
        <f>('Clean Data'!F25-'Clean Data'!F21)/'Clean Data'!B21</f>
        <v>3.095081358640097E-2</v>
      </c>
      <c r="F25" s="5">
        <f>-('Clean Data'!G25-'Clean Data'!G21)/'Clean Data'!B21</f>
        <v>-1.803661515454048E-2</v>
      </c>
    </row>
    <row r="26" spans="1:6" x14ac:dyDescent="0.2">
      <c r="A26" s="3" t="str">
        <f>'Clean Data'!A26</f>
        <v>2006-01-01</v>
      </c>
      <c r="B26" s="5">
        <f>('Clean Data'!C26-'Clean Data'!C22)/'Clean Data'!B22</f>
        <v>1.8400253644520068E-2</v>
      </c>
      <c r="C26" s="5">
        <f>('Clean Data'!D26-'Clean Data'!D22)/'Clean Data'!B22</f>
        <v>1.3763569643946242E-2</v>
      </c>
      <c r="D26" s="5">
        <f>('Clean Data'!E26-'Clean Data'!E22)/'Clean Data'!B22</f>
        <v>5.6911266942345209E-3</v>
      </c>
      <c r="E26" s="5">
        <f>('Clean Data'!F26-'Clean Data'!F22)/'Clean Data'!B22</f>
        <v>2.4838472900568065E-2</v>
      </c>
      <c r="F26" s="5">
        <f>-('Clean Data'!G26-'Clean Data'!G22)/'Clean Data'!B22</f>
        <v>-1.0218629625710251E-2</v>
      </c>
    </row>
    <row r="27" spans="1:6" x14ac:dyDescent="0.2">
      <c r="A27" s="3" t="str">
        <f>'Clean Data'!A27</f>
        <v>2006-04-01</v>
      </c>
      <c r="B27" s="5">
        <f>('Clean Data'!C27-'Clean Data'!C23)/'Clean Data'!B23</f>
        <v>1.8845087779280022E-2</v>
      </c>
      <c r="C27" s="5">
        <f>('Clean Data'!D27-'Clean Data'!D23)/'Clean Data'!B23</f>
        <v>1.6074523284922534E-2</v>
      </c>
      <c r="D27" s="5">
        <f>('Clean Data'!E27-'Clean Data'!E23)/'Clean Data'!B23</f>
        <v>2.9547600495578295E-3</v>
      </c>
      <c r="E27" s="5">
        <f>('Clean Data'!F27-'Clean Data'!F23)/'Clean Data'!B23</f>
        <v>2.42296069539478E-2</v>
      </c>
      <c r="F27" s="5">
        <f>-('Clean Data'!G27-'Clean Data'!G23)/'Clean Data'!B23</f>
        <v>-2.005475217288813E-2</v>
      </c>
    </row>
    <row r="28" spans="1:6" x14ac:dyDescent="0.2">
      <c r="A28" s="3" t="str">
        <f>'Clean Data'!A28</f>
        <v>2006-07-01</v>
      </c>
      <c r="B28" s="5">
        <f>('Clean Data'!C28-'Clean Data'!C24)/'Clean Data'!B24</f>
        <v>1.7972199720725224E-2</v>
      </c>
      <c r="C28" s="5">
        <f>('Clean Data'!D28-'Clean Data'!D24)/'Clean Data'!B24</f>
        <v>8.5852720897765895E-4</v>
      </c>
      <c r="D28" s="5">
        <f>('Clean Data'!E28-'Clean Data'!E24)/'Clean Data'!B24</f>
        <v>1.7814002403603382E-3</v>
      </c>
      <c r="E28" s="5">
        <f>('Clean Data'!F28-'Clean Data'!F24)/'Clean Data'!B24</f>
        <v>1.9015275688050379E-2</v>
      </c>
      <c r="F28" s="5">
        <f>-('Clean Data'!G28-'Clean Data'!G24)/'Clean Data'!B24</f>
        <v>-2.4084210716910085E-2</v>
      </c>
    </row>
    <row r="29" spans="1:6" x14ac:dyDescent="0.2">
      <c r="A29" s="3" t="str">
        <f>'Clean Data'!A29</f>
        <v>2006-10-01</v>
      </c>
      <c r="B29" s="5">
        <f>('Clean Data'!C29-'Clean Data'!C25)/'Clean Data'!B25</f>
        <v>2.0739933612671541E-2</v>
      </c>
      <c r="C29" s="5">
        <f>('Clean Data'!D29-'Clean Data'!D25)/'Clean Data'!B25</f>
        <v>1.1646148952751643E-3</v>
      </c>
      <c r="D29" s="5">
        <f>('Clean Data'!E29-'Clean Data'!E25)/'Clean Data'!B25</f>
        <v>1.9959579050357792E-2</v>
      </c>
      <c r="E29" s="5">
        <f>('Clean Data'!F29-'Clean Data'!F25)/'Clean Data'!B25</f>
        <v>1.4590397783082789E-2</v>
      </c>
      <c r="F29" s="5">
        <f>-('Clean Data'!G29-'Clean Data'!G25)/'Clean Data'!B25</f>
        <v>-1.9406626638739745E-2</v>
      </c>
    </row>
    <row r="30" spans="1:6" x14ac:dyDescent="0.2">
      <c r="A30" s="3" t="str">
        <f>'Clean Data'!A30</f>
        <v>2007-01-01</v>
      </c>
      <c r="B30" s="5">
        <f>('Clean Data'!C30-'Clean Data'!C26)/'Clean Data'!B26</f>
        <v>2.7163559695103461E-2</v>
      </c>
      <c r="C30" s="5">
        <f>('Clean Data'!D30-'Clean Data'!D26)/'Clean Data'!B26</f>
        <v>3.1115027524579314E-3</v>
      </c>
      <c r="D30" s="5">
        <f>('Clean Data'!E30-'Clean Data'!E26)/'Clean Data'!B26</f>
        <v>2.1105309131122792E-2</v>
      </c>
      <c r="E30" s="5">
        <f>('Clean Data'!F30-'Clean Data'!F26)/'Clean Data'!B26</f>
        <v>1.9278031776384503E-2</v>
      </c>
      <c r="F30" s="5">
        <f>-('Clean Data'!G30-'Clean Data'!G26)/'Clean Data'!B26</f>
        <v>-1.7882783862623854E-2</v>
      </c>
    </row>
    <row r="31" spans="1:6" x14ac:dyDescent="0.2">
      <c r="A31" s="3" t="str">
        <f>'Clean Data'!A31</f>
        <v>2007-04-01</v>
      </c>
      <c r="B31" s="5">
        <f>('Clean Data'!C31-'Clean Data'!C27)/'Clean Data'!B27</f>
        <v>2.8353136699442567E-2</v>
      </c>
      <c r="C31" s="5">
        <f>('Clean Data'!D31-'Clean Data'!D27)/'Clean Data'!B27</f>
        <v>2.5918939296027425E-3</v>
      </c>
      <c r="D31" s="5">
        <f>('Clean Data'!E31-'Clean Data'!E27)/'Clean Data'!B27</f>
        <v>2.3192897990087474E-2</v>
      </c>
      <c r="E31" s="5">
        <f>('Clean Data'!F31-'Clean Data'!F27)/'Clean Data'!B27</f>
        <v>2.308979546701986E-2</v>
      </c>
      <c r="F31" s="5">
        <f>-('Clean Data'!G31-'Clean Data'!G27)/'Clean Data'!B27</f>
        <v>-1.4684523023240624E-2</v>
      </c>
    </row>
    <row r="32" spans="1:6" x14ac:dyDescent="0.2">
      <c r="A32" s="3" t="str">
        <f>'Clean Data'!A32</f>
        <v>2007-07-01</v>
      </c>
      <c r="B32" s="5">
        <f>('Clean Data'!C32-'Clean Data'!C28)/'Clean Data'!B28</f>
        <v>3.0359085155640293E-2</v>
      </c>
      <c r="C32" s="5">
        <f>('Clean Data'!D32-'Clean Data'!D28)/'Clean Data'!B28</f>
        <v>3.6554717463296222E-3</v>
      </c>
      <c r="D32" s="5">
        <f>('Clean Data'!E32-'Clean Data'!E28)/'Clean Data'!B28</f>
        <v>2.7183674797946519E-2</v>
      </c>
      <c r="E32" s="5">
        <f>('Clean Data'!F32-'Clean Data'!F28)/'Clean Data'!B28</f>
        <v>1.751565688261586E-2</v>
      </c>
      <c r="F32" s="5">
        <f>-('Clean Data'!G32-'Clean Data'!G28)/'Clean Data'!B28</f>
        <v>-1.6233641502515442E-2</v>
      </c>
    </row>
    <row r="33" spans="1:6" x14ac:dyDescent="0.2">
      <c r="A33" s="3" t="str">
        <f>'Clean Data'!A33</f>
        <v>2007-10-01</v>
      </c>
      <c r="B33" s="5">
        <f>('Clean Data'!C33-'Clean Data'!C29)/'Clean Data'!B29</f>
        <v>3.1277674312608854E-2</v>
      </c>
      <c r="C33" s="5">
        <f>('Clean Data'!D33-'Clean Data'!D29)/'Clean Data'!B29</f>
        <v>3.8940973214157426E-3</v>
      </c>
      <c r="D33" s="5">
        <f>('Clean Data'!E33-'Clean Data'!E29)/'Clean Data'!B29</f>
        <v>3.5207523082788392E-2</v>
      </c>
      <c r="E33" s="5">
        <f>('Clean Data'!F33-'Clean Data'!F29)/'Clean Data'!B29</f>
        <v>1.7861185875632037E-2</v>
      </c>
      <c r="F33" s="5">
        <f>-('Clean Data'!G33-'Clean Data'!G29)/'Clean Data'!B29</f>
        <v>-3.1245959422708067E-2</v>
      </c>
    </row>
    <row r="34" spans="1:6" x14ac:dyDescent="0.2">
      <c r="A34" s="3" t="str">
        <f>'Clean Data'!A34</f>
        <v>2008-01-01</v>
      </c>
      <c r="B34" s="5">
        <f>('Clean Data'!C34-'Clean Data'!C30)/'Clean Data'!B30</f>
        <v>3.2266386806856791E-2</v>
      </c>
      <c r="C34" s="5">
        <f>('Clean Data'!D34-'Clean Data'!D30)/'Clean Data'!B30</f>
        <v>1.054707104362553E-2</v>
      </c>
      <c r="D34" s="5">
        <f>('Clean Data'!E34-'Clean Data'!E30)/'Clean Data'!B30</f>
        <v>4.1794339106836741E-2</v>
      </c>
      <c r="E34" s="5">
        <f>('Clean Data'!F34-'Clean Data'!F30)/'Clean Data'!B30</f>
        <v>3.8010406788726137E-2</v>
      </c>
      <c r="F34" s="5">
        <f>-('Clean Data'!G34-'Clean Data'!G30)/'Clean Data'!B30</f>
        <v>-4.9422171965085443E-2</v>
      </c>
    </row>
    <row r="35" spans="1:6" x14ac:dyDescent="0.2">
      <c r="A35" s="3" t="str">
        <f>'Clean Data'!A35</f>
        <v>2008-04-01</v>
      </c>
      <c r="B35" s="5">
        <f>('Clean Data'!C35-'Clean Data'!C31)/'Clean Data'!B31</f>
        <v>3.2136552519125706E-2</v>
      </c>
      <c r="C35" s="5">
        <f>('Clean Data'!D35-'Clean Data'!D31)/'Clean Data'!B31</f>
        <v>7.1479065101677725E-3</v>
      </c>
      <c r="D35" s="5">
        <f>('Clean Data'!E35-'Clean Data'!E31)/'Clean Data'!B31</f>
        <v>3.8651989820532105E-2</v>
      </c>
      <c r="E35" s="5">
        <f>('Clean Data'!F35-'Clean Data'!F31)/'Clean Data'!B31</f>
        <v>2.6277075196579468E-2</v>
      </c>
      <c r="F35" s="5">
        <f>-('Clean Data'!G35-'Clean Data'!G31)/'Clean Data'!B31</f>
        <v>-3.356789259015943E-2</v>
      </c>
    </row>
    <row r="36" spans="1:6" x14ac:dyDescent="0.2">
      <c r="A36" s="3" t="str">
        <f>'Clean Data'!A36</f>
        <v>2008-07-01</v>
      </c>
      <c r="B36" s="5">
        <f>('Clean Data'!C36-'Clean Data'!C32)/'Clean Data'!B32</f>
        <v>3.0094083980699696E-2</v>
      </c>
      <c r="C36" s="5">
        <f>('Clean Data'!D36-'Clean Data'!D32)/'Clean Data'!B32</f>
        <v>1.1368194579475086E-2</v>
      </c>
      <c r="D36" s="5">
        <f>('Clean Data'!E36-'Clean Data'!E32)/'Clean Data'!B32</f>
        <v>3.376432596224456E-2</v>
      </c>
      <c r="E36" s="5">
        <f>('Clean Data'!F36-'Clean Data'!F32)/'Clean Data'!B32</f>
        <v>1.9440718114927376E-2</v>
      </c>
      <c r="F36" s="5">
        <f>-('Clean Data'!G36-'Clean Data'!G32)/'Clean Data'!B32</f>
        <v>-1.2887651992518139E-2</v>
      </c>
    </row>
    <row r="37" spans="1:6" x14ac:dyDescent="0.2">
      <c r="A37" s="3" t="str">
        <f>'Clean Data'!A37</f>
        <v>2008-10-01</v>
      </c>
      <c r="B37" s="5">
        <f>('Clean Data'!C37-'Clean Data'!C33)/'Clean Data'!B33</f>
        <v>2.8986950492216723E-2</v>
      </c>
      <c r="C37" s="5">
        <f>('Clean Data'!D37-'Clean Data'!D33)/'Clean Data'!B33</f>
        <v>5.7423148963996048E-3</v>
      </c>
      <c r="D37" s="5">
        <f>('Clean Data'!E37-'Clean Data'!E33)/'Clean Data'!B33</f>
        <v>2.6410578622573309E-2</v>
      </c>
      <c r="E37" s="5">
        <f>('Clean Data'!F37-'Clean Data'!F33)/'Clean Data'!B33</f>
        <v>5.4454733493272799E-3</v>
      </c>
      <c r="F37" s="5">
        <f>-('Clean Data'!G37-'Clean Data'!G33)/'Clean Data'!B33</f>
        <v>3.6752853016835587E-3</v>
      </c>
    </row>
    <row r="38" spans="1:6" x14ac:dyDescent="0.2">
      <c r="A38" s="3" t="str">
        <f>'Clean Data'!A38</f>
        <v>2009-01-01</v>
      </c>
      <c r="B38" s="5">
        <f>('Clean Data'!C38-'Clean Data'!C34)/'Clean Data'!B34</f>
        <v>2.8602590796554073E-2</v>
      </c>
      <c r="C38" s="5">
        <f>('Clean Data'!D38-'Clean Data'!D34)/'Clean Data'!B34</f>
        <v>1.0744642604829177E-2</v>
      </c>
      <c r="D38" s="5">
        <f>('Clean Data'!E38-'Clean Data'!E34)/'Clean Data'!B34</f>
        <v>1.5912990030987659E-2</v>
      </c>
      <c r="E38" s="5">
        <f>('Clean Data'!F38-'Clean Data'!F34)/'Clean Data'!B34</f>
        <v>-2.6471604841542165E-2</v>
      </c>
      <c r="F38" s="5">
        <f>-('Clean Data'!G38-'Clean Data'!G34)/'Clean Data'!B34</f>
        <v>3.4107400707909234E-2</v>
      </c>
    </row>
    <row r="39" spans="1:6" x14ac:dyDescent="0.2">
      <c r="A39" s="3" t="str">
        <f>'Clean Data'!A39</f>
        <v>2009-04-01</v>
      </c>
      <c r="B39" s="5">
        <f>('Clean Data'!C39-'Clean Data'!C35)/'Clean Data'!B35</f>
        <v>2.6584336304840413E-2</v>
      </c>
      <c r="C39" s="5">
        <f>('Clean Data'!D39-'Clean Data'!D35)/'Clean Data'!B35</f>
        <v>1.1080382854521993E-2</v>
      </c>
      <c r="D39" s="5">
        <f>('Clean Data'!E39-'Clean Data'!E35)/'Clean Data'!B35</f>
        <v>1.1291800265103081E-2</v>
      </c>
      <c r="E39" s="5">
        <f>('Clean Data'!F39-'Clean Data'!F35)/'Clean Data'!B35</f>
        <v>-1.330692317661978E-2</v>
      </c>
      <c r="F39" s="5">
        <f>-('Clean Data'!G39-'Clean Data'!G35)/'Clean Data'!B35</f>
        <v>3.4257208155456499E-2</v>
      </c>
    </row>
    <row r="40" spans="1:6" x14ac:dyDescent="0.2">
      <c r="A40" s="3" t="str">
        <f>'Clean Data'!A40</f>
        <v>2009-07-01</v>
      </c>
      <c r="B40" s="5">
        <f>('Clean Data'!C40-'Clean Data'!C36)/'Clean Data'!B36</f>
        <v>2.6906149012208228E-2</v>
      </c>
      <c r="C40" s="5">
        <f>('Clean Data'!D40-'Clean Data'!D36)/'Clean Data'!B36</f>
        <v>1.5650100226415266E-3</v>
      </c>
      <c r="D40" s="5">
        <f>('Clean Data'!E40-'Clean Data'!E36)/'Clean Data'!B36</f>
        <v>1.1767579011529319E-2</v>
      </c>
      <c r="E40" s="5">
        <f>('Clean Data'!F40-'Clean Data'!F36)/'Clean Data'!B36</f>
        <v>1.23938661634375E-3</v>
      </c>
      <c r="F40" s="5">
        <f>-('Clean Data'!G40-'Clean Data'!G36)/'Clean Data'!B36</f>
        <v>1.9816324125383911E-2</v>
      </c>
    </row>
    <row r="41" spans="1:6" x14ac:dyDescent="0.2">
      <c r="A41" s="3" t="str">
        <f>'Clean Data'!A41</f>
        <v>2009-10-01</v>
      </c>
      <c r="B41" s="5">
        <f>('Clean Data'!C41-'Clean Data'!C37)/'Clean Data'!B37</f>
        <v>2.6152291662379742E-2</v>
      </c>
      <c r="C41" s="5">
        <f>('Clean Data'!D41-'Clean Data'!D37)/'Clean Data'!B37</f>
        <v>1.5411780836412705E-2</v>
      </c>
      <c r="D41" s="5">
        <f>('Clean Data'!E41-'Clean Data'!E37)/'Clean Data'!B37</f>
        <v>1.0007074382462809E-2</v>
      </c>
      <c r="E41" s="5">
        <f>('Clean Data'!F41-'Clean Data'!F37)/'Clean Data'!B37</f>
        <v>1.8186259596071883E-2</v>
      </c>
      <c r="F41" s="5">
        <f>-('Clean Data'!G41-'Clean Data'!G37)/'Clean Data'!B37</f>
        <v>-1.3380241753435706E-4</v>
      </c>
    </row>
    <row r="42" spans="1:6" x14ac:dyDescent="0.2">
      <c r="A42" s="3" t="str">
        <f>'Clean Data'!A42</f>
        <v>2010-01-01</v>
      </c>
      <c r="B42" s="5">
        <f>('Clean Data'!C42-'Clean Data'!C38)/'Clean Data'!B38</f>
        <v>2.4477362243750342E-2</v>
      </c>
      <c r="C42" s="5">
        <f>('Clean Data'!D42-'Clean Data'!D38)/'Clean Data'!B38</f>
        <v>-3.5644886770751952E-3</v>
      </c>
      <c r="D42" s="5">
        <f>('Clean Data'!E42-'Clean Data'!E38)/'Clean Data'!B38</f>
        <v>1.3395995377611821E-2</v>
      </c>
      <c r="E42" s="5">
        <f>('Clean Data'!F42-'Clean Data'!F38)/'Clean Data'!B38</f>
        <v>3.9352828107619947E-2</v>
      </c>
      <c r="F42" s="5">
        <f>-('Clean Data'!G42-'Clean Data'!G38)/'Clean Data'!B38</f>
        <v>-2.6419020195252548E-2</v>
      </c>
    </row>
    <row r="43" spans="1:6" x14ac:dyDescent="0.2">
      <c r="A43" s="3" t="str">
        <f>'Clean Data'!A43</f>
        <v>2010-04-01</v>
      </c>
      <c r="B43" s="5">
        <f>('Clean Data'!C43-'Clean Data'!C39)/'Clean Data'!B39</f>
        <v>2.5465766653336892E-2</v>
      </c>
      <c r="C43" s="5">
        <f>('Clean Data'!D43-'Clean Data'!D39)/'Clean Data'!B39</f>
        <v>-2.3233900662856925E-4</v>
      </c>
      <c r="D43" s="5">
        <f>('Clean Data'!E43-'Clean Data'!E39)/'Clean Data'!B39</f>
        <v>2.0688110601801566E-2</v>
      </c>
      <c r="E43" s="5">
        <f>('Clean Data'!F43-'Clean Data'!F39)/'Clean Data'!B39</f>
        <v>3.1630212823878436E-2</v>
      </c>
      <c r="F43" s="5">
        <f>-('Clean Data'!G43-'Clean Data'!G39)/'Clean Data'!B39</f>
        <v>-3.6171801887608539E-2</v>
      </c>
    </row>
    <row r="44" spans="1:6" x14ac:dyDescent="0.2">
      <c r="A44" s="3" t="str">
        <f>'Clean Data'!A44</f>
        <v>2010-07-01</v>
      </c>
      <c r="B44" s="5">
        <f>('Clean Data'!C44-'Clean Data'!C40)/'Clean Data'!B40</f>
        <v>2.1067872003597769E-2</v>
      </c>
      <c r="C44" s="5">
        <f>('Clean Data'!D44-'Clean Data'!D40)/'Clean Data'!B40</f>
        <v>1.2719137561432317E-2</v>
      </c>
      <c r="D44" s="5">
        <f>('Clean Data'!E44-'Clean Data'!E40)/'Clean Data'!B40</f>
        <v>2.1772597405646597E-2</v>
      </c>
      <c r="E44" s="5">
        <f>('Clean Data'!F44-'Clean Data'!F40)/'Clean Data'!B40</f>
        <v>2.7851723470350139E-2</v>
      </c>
      <c r="F44" s="5">
        <f>-('Clean Data'!G44-'Clean Data'!G40)/'Clean Data'!B40</f>
        <v>-3.4780973780014261E-2</v>
      </c>
    </row>
    <row r="45" spans="1:6" x14ac:dyDescent="0.2">
      <c r="A45" s="3" t="str">
        <f>'Clean Data'!A45</f>
        <v>2010-10-01</v>
      </c>
      <c r="B45" s="5">
        <f>('Clean Data'!C45-'Clean Data'!C41)/'Clean Data'!B41</f>
        <v>2.3181868384145654E-2</v>
      </c>
      <c r="C45" s="5">
        <f>('Clean Data'!D45-'Clean Data'!D41)/'Clean Data'!B41</f>
        <v>5.5094725003088964E-3</v>
      </c>
      <c r="D45" s="5">
        <f>('Clean Data'!E45-'Clean Data'!E41)/'Clean Data'!B41</f>
        <v>2.6600202686202491E-2</v>
      </c>
      <c r="E45" s="5">
        <f>('Clean Data'!F45-'Clean Data'!F41)/'Clean Data'!B41</f>
        <v>3.8227401981202107E-2</v>
      </c>
      <c r="F45" s="5">
        <f>-('Clean Data'!G45-'Clean Data'!G41)/'Clean Data'!B41</f>
        <v>-3.7998203902943763E-2</v>
      </c>
    </row>
    <row r="46" spans="1:6" x14ac:dyDescent="0.2">
      <c r="A46" s="3" t="str">
        <f>'Clean Data'!A46</f>
        <v>2011-01-01</v>
      </c>
      <c r="B46" s="5">
        <f>('Clean Data'!C46-'Clean Data'!C42)/'Clean Data'!B42</f>
        <v>2.4831267815474425E-2</v>
      </c>
      <c r="C46" s="5">
        <f>('Clean Data'!D46-'Clean Data'!D42)/'Clean Data'!B42</f>
        <v>7.5712437784402004E-3</v>
      </c>
      <c r="D46" s="5">
        <f>('Clean Data'!E46-'Clean Data'!E42)/'Clean Data'!B42</f>
        <v>2.8581940648398505E-2</v>
      </c>
      <c r="E46" s="5">
        <f>('Clean Data'!F46-'Clean Data'!F42)/'Clean Data'!B42</f>
        <v>3.0315437647179644E-2</v>
      </c>
      <c r="F46" s="5">
        <f>-('Clean Data'!G46-'Clean Data'!G42)/'Clean Data'!B42</f>
        <v>-3.2671656583256693E-2</v>
      </c>
    </row>
    <row r="47" spans="1:6" x14ac:dyDescent="0.2">
      <c r="A47" s="3" t="str">
        <f>'Clean Data'!A47</f>
        <v>2011-04-01</v>
      </c>
      <c r="B47" s="5">
        <f>('Clean Data'!C47-'Clean Data'!C43)/'Clean Data'!B43</f>
        <v>2.6176694555271666E-2</v>
      </c>
      <c r="C47" s="5">
        <f>('Clean Data'!D47-'Clean Data'!D43)/'Clean Data'!B43</f>
        <v>5.9295894809377738E-3</v>
      </c>
      <c r="D47" s="5">
        <f>('Clean Data'!E47-'Clean Data'!E43)/'Clean Data'!B43</f>
        <v>2.6112625473543215E-2</v>
      </c>
      <c r="E47" s="5">
        <f>('Clean Data'!F47-'Clean Data'!F43)/'Clean Data'!B43</f>
        <v>4.3641450935504027E-2</v>
      </c>
      <c r="F47" s="5">
        <f>-('Clean Data'!G47-'Clean Data'!G43)/'Clean Data'!B43</f>
        <v>-3.0497147603474859E-2</v>
      </c>
    </row>
    <row r="48" spans="1:6" x14ac:dyDescent="0.2">
      <c r="A48" s="3" t="str">
        <f>'Clean Data'!A48</f>
        <v>2011-07-01</v>
      </c>
      <c r="B48" s="5">
        <f>('Clean Data'!C48-'Clean Data'!C44)/'Clean Data'!B44</f>
        <v>3.1626438023874805E-2</v>
      </c>
      <c r="C48" s="5">
        <f>('Clean Data'!D48-'Clean Data'!D44)/'Clean Data'!B44</f>
        <v>3.7671856478696301E-3</v>
      </c>
      <c r="D48" s="5">
        <f>('Clean Data'!E48-'Clean Data'!E44)/'Clean Data'!B44</f>
        <v>2.7434909681477944E-2</v>
      </c>
      <c r="E48" s="5">
        <f>('Clean Data'!F48-'Clean Data'!F44)/'Clean Data'!B44</f>
        <v>4.6633163890581981E-2</v>
      </c>
      <c r="F48" s="5">
        <f>-('Clean Data'!G48-'Clean Data'!G44)/'Clean Data'!B44</f>
        <v>-4.092027374967272E-2</v>
      </c>
    </row>
    <row r="49" spans="1:6" x14ac:dyDescent="0.2">
      <c r="A49" s="3" t="str">
        <f>'Clean Data'!A49</f>
        <v>2011-10-01</v>
      </c>
      <c r="B49" s="5">
        <f>('Clean Data'!C49-'Clean Data'!C45)/'Clean Data'!B45</f>
        <v>3.0963459778575526E-2</v>
      </c>
      <c r="C49" s="5">
        <f>('Clean Data'!D49-'Clean Data'!D45)/'Clean Data'!B45</f>
        <v>2.7420758901255779E-3</v>
      </c>
      <c r="D49" s="5">
        <f>('Clean Data'!E49-'Clean Data'!E45)/'Clean Data'!B45</f>
        <v>2.7738047867937304E-2</v>
      </c>
      <c r="E49" s="5">
        <f>('Clean Data'!F49-'Clean Data'!F45)/'Clean Data'!B45</f>
        <v>2.3113593171822665E-2</v>
      </c>
      <c r="F49" s="5">
        <f>-('Clean Data'!G49-'Clean Data'!G45)/'Clean Data'!B45</f>
        <v>-3.0555395094103797E-2</v>
      </c>
    </row>
    <row r="50" spans="1:6" x14ac:dyDescent="0.2">
      <c r="A50" s="3" t="str">
        <f>'Clean Data'!A50</f>
        <v>2012-01-01</v>
      </c>
      <c r="B50" s="5">
        <f>('Clean Data'!C50-'Clean Data'!C46)/'Clean Data'!B46</f>
        <v>3.0906988956120832E-2</v>
      </c>
      <c r="C50" s="5">
        <f>('Clean Data'!D50-'Clean Data'!D46)/'Clean Data'!B46</f>
        <v>5.9458632500181512E-3</v>
      </c>
      <c r="D50" s="5">
        <f>('Clean Data'!E50-'Clean Data'!E46)/'Clean Data'!B46</f>
        <v>2.7631959049303153E-2</v>
      </c>
      <c r="E50" s="5">
        <f>('Clean Data'!F50-'Clean Data'!F46)/'Clean Data'!B46</f>
        <v>1.8129042658012597E-2</v>
      </c>
      <c r="F50" s="5">
        <f>-('Clean Data'!G50-'Clean Data'!G46)/'Clean Data'!B46</f>
        <v>-2.6897738378968597E-2</v>
      </c>
    </row>
    <row r="51" spans="1:6" x14ac:dyDescent="0.2">
      <c r="A51" s="3" t="str">
        <f>'Clean Data'!A51</f>
        <v>2012-04-01</v>
      </c>
      <c r="B51" s="5">
        <f>('Clean Data'!C51-'Clean Data'!C47)/'Clean Data'!B47</f>
        <v>3.0882834185577437E-2</v>
      </c>
      <c r="C51" s="5">
        <f>('Clean Data'!D51-'Clean Data'!D47)/'Clean Data'!B47</f>
        <v>1.282000449239048E-2</v>
      </c>
      <c r="D51" s="5">
        <f>('Clean Data'!E51-'Clean Data'!E47)/'Clean Data'!B47</f>
        <v>2.9972205612969049E-2</v>
      </c>
      <c r="E51" s="5">
        <f>('Clean Data'!F51-'Clean Data'!F47)/'Clean Data'!B47</f>
        <v>4.2616650614815555E-3</v>
      </c>
      <c r="F51" s="5">
        <f>-('Clean Data'!G51-'Clean Data'!G47)/'Clean Data'!B47</f>
        <v>-3.0136604357957623E-2</v>
      </c>
    </row>
    <row r="52" spans="1:6" x14ac:dyDescent="0.2">
      <c r="A52" s="3" t="str">
        <f>'Clean Data'!A52</f>
        <v>2012-07-01</v>
      </c>
      <c r="B52" s="5">
        <f>('Clean Data'!C52-'Clean Data'!C48)/'Clean Data'!B48</f>
        <v>3.0577393914870205E-2</v>
      </c>
      <c r="C52" s="5">
        <f>('Clean Data'!D52-'Clean Data'!D48)/'Clean Data'!B48</f>
        <v>-2.3365276886744175E-3</v>
      </c>
      <c r="D52" s="5">
        <f>('Clean Data'!E52-'Clean Data'!E48)/'Clean Data'!B48</f>
        <v>3.0193685962694262E-2</v>
      </c>
      <c r="E52" s="5">
        <f>('Clean Data'!F52-'Clean Data'!F48)/'Clean Data'!B48</f>
        <v>-4.3595354052859058E-3</v>
      </c>
      <c r="F52" s="5">
        <f>-('Clean Data'!G52-'Clean Data'!G48)/'Clean Data'!B48</f>
        <v>-5.8848095659422847E-3</v>
      </c>
    </row>
    <row r="53" spans="1:6" x14ac:dyDescent="0.2">
      <c r="A53" s="3" t="str">
        <f>'Clean Data'!A53</f>
        <v>2012-10-01</v>
      </c>
      <c r="B53" s="5">
        <f>('Clean Data'!C53-'Clean Data'!C49)/'Clean Data'!B49</f>
        <v>3.0389860788221045E-2</v>
      </c>
      <c r="C53" s="5">
        <f>('Clean Data'!D53-'Clean Data'!D49)/'Clean Data'!B49</f>
        <v>2.2013161449585134E-5</v>
      </c>
      <c r="D53" s="5">
        <f>('Clean Data'!E53-'Clean Data'!E49)/'Clean Data'!B49</f>
        <v>2.8203972668649813E-2</v>
      </c>
      <c r="E53" s="5">
        <f>('Clean Data'!F53-'Clean Data'!F49)/'Clean Data'!B49</f>
        <v>-6.5353764496201244E-4</v>
      </c>
      <c r="F53" s="5">
        <f>-('Clean Data'!G53-'Clean Data'!G49)/'Clean Data'!B49</f>
        <v>-1.51733276087596E-2</v>
      </c>
    </row>
    <row r="54" spans="1:6" x14ac:dyDescent="0.2">
      <c r="A54" s="3" t="str">
        <f>'Clean Data'!A54</f>
        <v>2013-01-01</v>
      </c>
      <c r="B54" s="5">
        <f>('Clean Data'!C54-'Clean Data'!C50)/'Clean Data'!B50</f>
        <v>3.0620013741211396E-2</v>
      </c>
      <c r="C54" s="5">
        <f>('Clean Data'!D54-'Clean Data'!D50)/'Clean Data'!B50</f>
        <v>2.7939516600661721E-3</v>
      </c>
      <c r="D54" s="5">
        <f>('Clean Data'!E54-'Clean Data'!E50)/'Clean Data'!B50</f>
        <v>2.2809965758021099E-2</v>
      </c>
      <c r="E54" s="5">
        <f>('Clean Data'!F54-'Clean Data'!F50)/'Clean Data'!B50</f>
        <v>5.8863774709732369E-3</v>
      </c>
      <c r="F54" s="5">
        <f>-('Clean Data'!G54-'Clean Data'!G50)/'Clean Data'!B50</f>
        <v>-5.8977305300722703E-3</v>
      </c>
    </row>
    <row r="55" spans="1:6" x14ac:dyDescent="0.2">
      <c r="A55" s="3" t="str">
        <f>'Clean Data'!A55</f>
        <v>2013-04-01</v>
      </c>
      <c r="B55" s="5">
        <f>('Clean Data'!C55-'Clean Data'!C51)/'Clean Data'!B51</f>
        <v>2.9969082444557107E-2</v>
      </c>
      <c r="C55" s="5">
        <f>('Clean Data'!D55-'Clean Data'!D51)/'Clean Data'!B51</f>
        <v>3.160575332310196E-3</v>
      </c>
      <c r="D55" s="5">
        <f>('Clean Data'!E55-'Clean Data'!E51)/'Clean Data'!B51</f>
        <v>1.7679349352309547E-2</v>
      </c>
      <c r="E55" s="5">
        <f>('Clean Data'!F55-'Clean Data'!F51)/'Clean Data'!B51</f>
        <v>8.4488541414798977E-3</v>
      </c>
      <c r="F55" s="5">
        <f>-('Clean Data'!G55-'Clean Data'!G51)/'Clean Data'!B51</f>
        <v>-1.0848634067956047E-3</v>
      </c>
    </row>
    <row r="56" spans="1:6" x14ac:dyDescent="0.2">
      <c r="A56" s="3" t="str">
        <f>'Clean Data'!A56</f>
        <v>2013-07-01</v>
      </c>
      <c r="B56" s="5">
        <f>('Clean Data'!C56-'Clean Data'!C52)/'Clean Data'!B52</f>
        <v>3.0283160763310304E-2</v>
      </c>
      <c r="C56" s="5">
        <f>('Clean Data'!D56-'Clean Data'!D52)/'Clean Data'!B52</f>
        <v>1.0419909323957879E-2</v>
      </c>
      <c r="D56" s="5">
        <f>('Clean Data'!E56-'Clean Data'!E52)/'Clean Data'!B52</f>
        <v>1.4085966582257635E-2</v>
      </c>
      <c r="E56" s="5">
        <f>('Clean Data'!F56-'Clean Data'!F52)/'Clean Data'!B52</f>
        <v>6.8804984009044924E-3</v>
      </c>
      <c r="F56" s="5">
        <f>-('Clean Data'!G56-'Clean Data'!G52)/'Clean Data'!B52</f>
        <v>-1.2693158133379725E-2</v>
      </c>
    </row>
    <row r="57" spans="1:6" x14ac:dyDescent="0.2">
      <c r="A57" s="3" t="str">
        <f>'Clean Data'!A57</f>
        <v>2013-10-01</v>
      </c>
      <c r="B57" s="5">
        <f>('Clean Data'!C57-'Clean Data'!C53)/'Clean Data'!B53</f>
        <v>3.043214906251231E-2</v>
      </c>
      <c r="C57" s="5">
        <f>('Clean Data'!D57-'Clean Data'!D53)/'Clean Data'!B53</f>
        <v>7.2867257914065453E-3</v>
      </c>
      <c r="D57" s="5">
        <f>('Clean Data'!E57-'Clean Data'!E53)/'Clean Data'!B53</f>
        <v>1.1256668367758795E-2</v>
      </c>
      <c r="E57" s="5">
        <f>('Clean Data'!F57-'Clean Data'!F53)/'Clean Data'!B53</f>
        <v>2.0442096023127101E-2</v>
      </c>
      <c r="F57" s="5">
        <f>-('Clean Data'!G57-'Clean Data'!G53)/'Clean Data'!B53</f>
        <v>1.1953379752820917E-3</v>
      </c>
    </row>
    <row r="58" spans="1:6" x14ac:dyDescent="0.2">
      <c r="A58" s="3" t="str">
        <f>'Clean Data'!A58</f>
        <v>2014-01-01</v>
      </c>
      <c r="B58" s="5">
        <f>('Clean Data'!C58-'Clean Data'!C54)/'Clean Data'!B54</f>
        <v>3.0263007786069388E-2</v>
      </c>
      <c r="C58" s="5">
        <f>('Clean Data'!D58-'Clean Data'!D54)/'Clean Data'!B54</f>
        <v>4.8911448013339845E-3</v>
      </c>
      <c r="D58" s="5">
        <f>('Clean Data'!E58-'Clean Data'!E54)/'Clean Data'!B54</f>
        <v>1.3528120284644243E-2</v>
      </c>
      <c r="E58" s="5">
        <f>('Clean Data'!F58-'Clean Data'!F54)/'Clean Data'!B54</f>
        <v>6.7750536186462615E-3</v>
      </c>
      <c r="F58" s="5">
        <f>-('Clean Data'!G58-'Clean Data'!G54)/'Clean Data'!B54</f>
        <v>-9.8574244167236955E-3</v>
      </c>
    </row>
    <row r="59" spans="1:6" x14ac:dyDescent="0.2">
      <c r="A59" s="3" t="str">
        <f>'Clean Data'!A59</f>
        <v>2014-04-01</v>
      </c>
      <c r="B59" s="5">
        <f>('Clean Data'!C59-'Clean Data'!C55)/'Clean Data'!B55</f>
        <v>3.0160485788258334E-2</v>
      </c>
      <c r="C59" s="5">
        <f>('Clean Data'!D59-'Clean Data'!D55)/'Clean Data'!B55</f>
        <v>-1.9987034259552213E-3</v>
      </c>
      <c r="D59" s="5">
        <f>('Clean Data'!E59-'Clean Data'!E55)/'Clean Data'!B55</f>
        <v>1.4834301752746065E-2</v>
      </c>
      <c r="E59" s="5">
        <f>('Clean Data'!F59-'Clean Data'!F55)/'Clean Data'!B55</f>
        <v>4.0453755939563081E-3</v>
      </c>
      <c r="F59" s="5">
        <f>-('Clean Data'!G59-'Clean Data'!G55)/'Clean Data'!B55</f>
        <v>-5.6666037844004154E-3</v>
      </c>
    </row>
    <row r="60" spans="1:6" x14ac:dyDescent="0.2">
      <c r="A60" s="3" t="str">
        <f>'Clean Data'!A60</f>
        <v>2014-07-01</v>
      </c>
      <c r="B60" s="5">
        <f>('Clean Data'!C60-'Clean Data'!C56)/'Clean Data'!B56</f>
        <v>2.8650110284867063E-2</v>
      </c>
      <c r="C60" s="5">
        <f>('Clean Data'!D60-'Clean Data'!D56)/'Clean Data'!B56</f>
        <v>4.2665111470832683E-4</v>
      </c>
      <c r="D60" s="5">
        <f>('Clean Data'!E60-'Clean Data'!E56)/'Clean Data'!B56</f>
        <v>1.4471865943667707E-2</v>
      </c>
      <c r="E60" s="5">
        <f>('Clean Data'!F60-'Clean Data'!F56)/'Clean Data'!B56</f>
        <v>7.5903636884957666E-3</v>
      </c>
      <c r="F60" s="5">
        <f>-('Clean Data'!G60-'Clean Data'!G56)/'Clean Data'!B56</f>
        <v>5.4790349748901067E-5</v>
      </c>
    </row>
    <row r="61" spans="1:6" x14ac:dyDescent="0.2">
      <c r="A61" s="3" t="str">
        <f>'Clean Data'!A61</f>
        <v>2014-10-01</v>
      </c>
      <c r="B61" s="5">
        <f>('Clean Data'!C61-'Clean Data'!C57)/'Clean Data'!B57</f>
        <v>2.7896332176379591E-2</v>
      </c>
      <c r="C61" s="5">
        <f>('Clean Data'!D61-'Clean Data'!D57)/'Clean Data'!B57</f>
        <v>8.9645896418430579E-4</v>
      </c>
      <c r="D61" s="5">
        <f>('Clean Data'!E61-'Clean Data'!E57)/'Clean Data'!B57</f>
        <v>1.505359342406026E-2</v>
      </c>
      <c r="E61" s="5">
        <f>('Clean Data'!F61-'Clean Data'!F57)/'Clean Data'!B57</f>
        <v>-7.4812481441805523E-3</v>
      </c>
      <c r="F61" s="5">
        <f>-('Clean Data'!G61-'Clean Data'!G57)/'Clean Data'!B57</f>
        <v>-4.8907595653484735E-3</v>
      </c>
    </row>
    <row r="62" spans="1:6" x14ac:dyDescent="0.2">
      <c r="A62" s="3" t="str">
        <f>'Clean Data'!A62</f>
        <v>2015-01-01</v>
      </c>
      <c r="B62" s="5">
        <f>('Clean Data'!C62-'Clean Data'!C58)/'Clean Data'!B58</f>
        <v>2.6848824345610426E-2</v>
      </c>
      <c r="C62" s="5">
        <f>('Clean Data'!D62-'Clean Data'!D58)/'Clean Data'!B58</f>
        <v>2.5438657088686129E-3</v>
      </c>
      <c r="D62" s="5">
        <f>('Clean Data'!E62-'Clean Data'!E58)/'Clean Data'!B58</f>
        <v>1.5177641012179962E-2</v>
      </c>
      <c r="E62" s="5">
        <f>('Clean Data'!F62-'Clean Data'!F58)/'Clean Data'!B58</f>
        <v>-1.6783695870622711E-3</v>
      </c>
      <c r="F62" s="5">
        <f>-('Clean Data'!G62-'Clean Data'!G58)/'Clean Data'!B58</f>
        <v>9.5066818945652894E-3</v>
      </c>
    </row>
    <row r="63" spans="1:6" x14ac:dyDescent="0.2">
      <c r="A63" s="3" t="str">
        <f>'Clean Data'!A63</f>
        <v>2015-04-01</v>
      </c>
      <c r="B63" s="5">
        <f>('Clean Data'!C63-'Clean Data'!C59)/'Clean Data'!B59</f>
        <v>2.6247806075571055E-2</v>
      </c>
      <c r="C63" s="5">
        <f>('Clean Data'!D63-'Clean Data'!D59)/'Clean Data'!B59</f>
        <v>2.763550817422859E-3</v>
      </c>
      <c r="D63" s="5">
        <f>('Clean Data'!E63-'Clean Data'!E59)/'Clean Data'!B59</f>
        <v>1.5454543063951358E-2</v>
      </c>
      <c r="E63" s="5">
        <f>('Clean Data'!F63-'Clean Data'!F59)/'Clean Data'!B59</f>
        <v>-3.7978968117575668E-3</v>
      </c>
      <c r="F63" s="5">
        <f>-('Clean Data'!G63-'Clean Data'!G59)/'Clean Data'!B59</f>
        <v>1.440628407237716E-2</v>
      </c>
    </row>
    <row r="64" spans="1:6" x14ac:dyDescent="0.2">
      <c r="A64" s="3" t="str">
        <f>'Clean Data'!A64</f>
        <v>2015-07-01</v>
      </c>
      <c r="B64" s="5">
        <f>('Clean Data'!C64-'Clean Data'!C60)/'Clean Data'!B60</f>
        <v>2.7101337823084524E-2</v>
      </c>
      <c r="C64" s="5">
        <f>('Clean Data'!D64-'Clean Data'!D60)/'Clean Data'!B60</f>
        <v>6.3327017272840434E-3</v>
      </c>
      <c r="D64" s="5">
        <f>('Clean Data'!E64-'Clean Data'!E60)/'Clean Data'!B60</f>
        <v>1.6737949168169345E-2</v>
      </c>
      <c r="E64" s="5">
        <f>('Clean Data'!F64-'Clean Data'!F60)/'Clean Data'!B60</f>
        <v>-4.2228144502620586E-3</v>
      </c>
      <c r="F64" s="5">
        <f>-('Clean Data'!G64-'Clean Data'!G60)/'Clean Data'!B60</f>
        <v>1.3512667237628992E-2</v>
      </c>
    </row>
    <row r="65" spans="1:6" x14ac:dyDescent="0.2">
      <c r="A65" s="3" t="str">
        <f>'Clean Data'!A65</f>
        <v>2015-10-01</v>
      </c>
      <c r="B65" s="5">
        <f>('Clean Data'!C65-'Clean Data'!C61)/'Clean Data'!B61</f>
        <v>2.7202837874419294E-2</v>
      </c>
      <c r="C65" s="5">
        <f>('Clean Data'!D65-'Clean Data'!D61)/'Clean Data'!B61</f>
        <v>6.5363417600946454E-3</v>
      </c>
      <c r="D65" s="5">
        <f>('Clean Data'!E65-'Clean Data'!E61)/'Clean Data'!B61</f>
        <v>1.7445268071751032E-2</v>
      </c>
      <c r="E65" s="5">
        <f>('Clean Data'!F65-'Clean Data'!F61)/'Clean Data'!B61</f>
        <v>-1.0423312521135377E-2</v>
      </c>
      <c r="F65" s="5">
        <f>-('Clean Data'!G65-'Clean Data'!G61)/'Clean Data'!B61</f>
        <v>2.0381173321255351E-2</v>
      </c>
    </row>
    <row r="66" spans="1:6" x14ac:dyDescent="0.2">
      <c r="A66" s="3" t="str">
        <f>'Clean Data'!A66</f>
        <v>2016-01-01</v>
      </c>
      <c r="B66" s="5">
        <f>('Clean Data'!C66-'Clean Data'!C62)/'Clean Data'!B62</f>
        <v>2.7740130441357719E-2</v>
      </c>
      <c r="C66" s="5">
        <f>('Clean Data'!D66-'Clean Data'!D62)/'Clean Data'!B62</f>
        <v>2.2378843798147069E-3</v>
      </c>
      <c r="D66" s="5">
        <f>('Clean Data'!E66-'Clean Data'!E62)/'Clean Data'!B62</f>
        <v>1.5951922312167219E-2</v>
      </c>
      <c r="E66" s="5">
        <f>('Clean Data'!F66-'Clean Data'!F62)/'Clean Data'!B62</f>
        <v>-9.910317714396601E-3</v>
      </c>
      <c r="F66" s="5">
        <f>-('Clean Data'!G66-'Clean Data'!G62)/'Clean Data'!B62</f>
        <v>1.2766805061648664E-2</v>
      </c>
    </row>
    <row r="67" spans="1:6" x14ac:dyDescent="0.2">
      <c r="A67" s="3" t="str">
        <f>'Clean Data'!A67</f>
        <v>2016-04-01</v>
      </c>
      <c r="B67" s="5">
        <f>('Clean Data'!C67-'Clean Data'!C63)/'Clean Data'!B63</f>
        <v>2.82416667939644E-2</v>
      </c>
      <c r="C67" s="5">
        <f>('Clean Data'!D67-'Clean Data'!D63)/'Clean Data'!B63</f>
        <v>4.4496263075589756E-3</v>
      </c>
      <c r="D67" s="5">
        <f>('Clean Data'!E67-'Clean Data'!E63)/'Clean Data'!B63</f>
        <v>1.4570860931200209E-2</v>
      </c>
      <c r="E67" s="5">
        <f>('Clean Data'!F67-'Clean Data'!F63)/'Clean Data'!B63</f>
        <v>-2.6202969460767797E-3</v>
      </c>
      <c r="F67" s="5">
        <f>-('Clean Data'!G67-'Clean Data'!G63)/'Clean Data'!B63</f>
        <v>3.9552846332153958E-3</v>
      </c>
    </row>
    <row r="68" spans="1:6" x14ac:dyDescent="0.2">
      <c r="A68" s="3" t="str">
        <f>'Clean Data'!A68</f>
        <v>2016-07-01</v>
      </c>
      <c r="B68" s="5">
        <f>('Clean Data'!C68-'Clean Data'!C64)/'Clean Data'!B64</f>
        <v>2.7983723492888163E-2</v>
      </c>
      <c r="C68" s="5">
        <f>('Clean Data'!D68-'Clean Data'!D64)/'Clean Data'!B64</f>
        <v>-3.3857925825094256E-3</v>
      </c>
      <c r="D68" s="5">
        <f>('Clean Data'!E68-'Clean Data'!E64)/'Clean Data'!B64</f>
        <v>1.3714207281108413E-2</v>
      </c>
      <c r="E68" s="5">
        <f>('Clean Data'!F68-'Clean Data'!F64)/'Clean Data'!B64</f>
        <v>-1.1342688938222708E-2</v>
      </c>
      <c r="F68" s="5">
        <f>-('Clean Data'!G68-'Clean Data'!G64)/'Clean Data'!B64</f>
        <v>8.4141064904387011E-3</v>
      </c>
    </row>
    <row r="69" spans="1:6" x14ac:dyDescent="0.2">
      <c r="A69" s="3" t="str">
        <f>'Clean Data'!A69</f>
        <v>2016-10-01</v>
      </c>
      <c r="B69" s="5">
        <f>('Clean Data'!C69-'Clean Data'!C65)/'Clean Data'!B65</f>
        <v>2.7912496793344472E-2</v>
      </c>
      <c r="C69" s="5">
        <f>('Clean Data'!D69-'Clean Data'!D65)/'Clean Data'!B65</f>
        <v>-3.6322515272848056E-3</v>
      </c>
      <c r="D69" s="5">
        <f>('Clean Data'!E69-'Clean Data'!E65)/'Clean Data'!B65</f>
        <v>1.3799144862547595E-2</v>
      </c>
      <c r="E69" s="5">
        <f>('Clean Data'!F69-'Clean Data'!F65)/'Clean Data'!B65</f>
        <v>8.7589270380204632E-3</v>
      </c>
      <c r="F69" s="5">
        <f>-('Clean Data'!G69-'Clean Data'!G65)/'Clean Data'!B65</f>
        <v>-4.8867325553329701E-3</v>
      </c>
    </row>
    <row r="70" spans="1:6" x14ac:dyDescent="0.2">
      <c r="A70" s="3" t="str">
        <f>'Clean Data'!A70</f>
        <v>2017-01-01</v>
      </c>
      <c r="B70" s="5">
        <f>('Clean Data'!C70-'Clean Data'!C66)/'Clean Data'!B66</f>
        <v>2.782534218663674E-2</v>
      </c>
      <c r="C70" s="5">
        <f>('Clean Data'!D70-'Clean Data'!D66)/'Clean Data'!B66</f>
        <v>1.7068203607919772E-3</v>
      </c>
      <c r="D70" s="5">
        <f>('Clean Data'!E70-'Clean Data'!E66)/'Clean Data'!B66</f>
        <v>1.5757948498658757E-2</v>
      </c>
      <c r="E70" s="5">
        <f>('Clean Data'!F70-'Clean Data'!F66)/'Clean Data'!B66</f>
        <v>1.5783859474086365E-2</v>
      </c>
      <c r="F70" s="5">
        <f>-('Clean Data'!G70-'Clean Data'!G66)/'Clean Data'!B66</f>
        <v>-8.7975610572939636E-3</v>
      </c>
    </row>
    <row r="71" spans="1:6" x14ac:dyDescent="0.2">
      <c r="A71" s="3" t="str">
        <f>'Clean Data'!A71</f>
        <v>2017-04-01</v>
      </c>
      <c r="B71" s="5">
        <f>('Clean Data'!C71-'Clean Data'!C67)/'Clean Data'!B67</f>
        <v>2.742413003630606E-2</v>
      </c>
      <c r="C71" s="5">
        <f>('Clean Data'!D71-'Clean Data'!D67)/'Clean Data'!B67</f>
        <v>-1.4774835978885569E-3</v>
      </c>
      <c r="D71" s="5">
        <f>('Clean Data'!E71-'Clean Data'!E67)/'Clean Data'!B67</f>
        <v>1.8916806771137301E-2</v>
      </c>
      <c r="E71" s="5">
        <f>('Clean Data'!F71-'Clean Data'!F67)/'Clean Data'!B67</f>
        <v>1.1000201107982914E-2</v>
      </c>
      <c r="F71" s="5">
        <f>-('Clean Data'!G71-'Clean Data'!G67)/'Clean Data'!B67</f>
        <v>-6.1623971136191228E-3</v>
      </c>
    </row>
    <row r="72" spans="1:6" x14ac:dyDescent="0.2">
      <c r="A72" s="3" t="str">
        <f>'Clean Data'!A72</f>
        <v>2017-07-01</v>
      </c>
      <c r="B72" s="5">
        <f>('Clean Data'!C72-'Clean Data'!C68)/'Clean Data'!B68</f>
        <v>2.7586771125925846E-2</v>
      </c>
      <c r="C72" s="5">
        <f>('Clean Data'!D72-'Clean Data'!D68)/'Clean Data'!B68</f>
        <v>2.9036539611577922E-3</v>
      </c>
      <c r="D72" s="5">
        <f>('Clean Data'!E72-'Clean Data'!E68)/'Clean Data'!B68</f>
        <v>2.1378770485351074E-2</v>
      </c>
      <c r="E72" s="5">
        <f>('Clean Data'!F72-'Clean Data'!F68)/'Clean Data'!B68</f>
        <v>2.8508403670217577E-2</v>
      </c>
      <c r="F72" s="5">
        <f>-('Clean Data'!G72-'Clean Data'!G68)/'Clean Data'!B68</f>
        <v>-2.4382602313760417E-2</v>
      </c>
    </row>
    <row r="73" spans="1:6" x14ac:dyDescent="0.2">
      <c r="A73" s="3" t="str">
        <f>'Clean Data'!A73</f>
        <v>2017-10-01</v>
      </c>
      <c r="B73" s="5">
        <f>('Clean Data'!C73-'Clean Data'!C69)/'Clean Data'!B69</f>
        <v>2.7662261043175689E-2</v>
      </c>
      <c r="C73" s="5">
        <f>('Clean Data'!D73-'Clean Data'!D69)/'Clean Data'!B69</f>
        <v>3.7778280792886729E-3</v>
      </c>
      <c r="D73" s="5">
        <f>('Clean Data'!E73-'Clean Data'!E69)/'Clean Data'!B69</f>
        <v>2.3152985043124436E-2</v>
      </c>
      <c r="E73" s="5">
        <f>('Clean Data'!F73-'Clean Data'!F69)/'Clean Data'!B69</f>
        <v>1.8900069564777425E-2</v>
      </c>
      <c r="F73" s="5">
        <f>-('Clean Data'!G73-'Clean Data'!G69)/'Clean Data'!B69</f>
        <v>-2.248495572525688E-2</v>
      </c>
    </row>
    <row r="74" spans="1:6" x14ac:dyDescent="0.2">
      <c r="A74" s="3" t="str">
        <f>'Clean Data'!A74</f>
        <v>2018-01-01</v>
      </c>
      <c r="B74" s="5">
        <f>('Clean Data'!C74-'Clean Data'!C70)/'Clean Data'!B70</f>
        <v>2.7613038162061732E-2</v>
      </c>
      <c r="C74" s="5">
        <f>('Clean Data'!D74-'Clean Data'!D70)/'Clean Data'!B70</f>
        <v>2.2156279785235941E-3</v>
      </c>
      <c r="D74" s="5">
        <f>('Clean Data'!E74-'Clean Data'!E70)/'Clean Data'!B70</f>
        <v>2.3776103847608372E-2</v>
      </c>
      <c r="E74" s="5">
        <f>('Clean Data'!F74-'Clean Data'!F70)/'Clean Data'!B70</f>
        <v>1.7195381072020909E-2</v>
      </c>
      <c r="F74" s="5">
        <f>-('Clean Data'!G74-'Clean Data'!G70)/'Clean Data'!B70</f>
        <v>-2.9619254577763918E-2</v>
      </c>
    </row>
    <row r="75" spans="1:6" x14ac:dyDescent="0.2">
      <c r="A75" s="3" t="str">
        <f>'Clean Data'!A75</f>
        <v>2018-04-01</v>
      </c>
      <c r="B75" s="5">
        <f>('Clean Data'!C75-'Clean Data'!C71)/'Clean Data'!B71</f>
        <v>2.8505095962596122E-2</v>
      </c>
      <c r="C75" s="5">
        <f>('Clean Data'!D75-'Clean Data'!D71)/'Clean Data'!B71</f>
        <v>4.310198983246972E-3</v>
      </c>
      <c r="D75" s="5">
        <f>('Clean Data'!E75-'Clean Data'!E71)/'Clean Data'!B71</f>
        <v>2.2390658741511586E-2</v>
      </c>
      <c r="E75" s="5">
        <f>('Clean Data'!F75-'Clean Data'!F71)/'Clean Data'!B71</f>
        <v>1.9394493900447136E-2</v>
      </c>
      <c r="F75" s="5">
        <f>-('Clean Data'!G75-'Clean Data'!G71)/'Clean Data'!B71</f>
        <v>-3.1857222109080575E-2</v>
      </c>
    </row>
    <row r="76" spans="1:6" x14ac:dyDescent="0.2">
      <c r="A76" s="3" t="str">
        <f>'Clean Data'!A76</f>
        <v>2018-07-01</v>
      </c>
      <c r="B76" s="5">
        <f>('Clean Data'!C76-'Clean Data'!C72)/'Clean Data'!B72</f>
        <v>2.8277344532874948E-2</v>
      </c>
      <c r="C76" s="5">
        <f>('Clean Data'!D76-'Clean Data'!D72)/'Clean Data'!B72</f>
        <v>4.8196288840448654E-3</v>
      </c>
      <c r="D76" s="5">
        <f>('Clean Data'!E76-'Clean Data'!E72)/'Clean Data'!B72</f>
        <v>2.1268444245357253E-2</v>
      </c>
      <c r="E76" s="5">
        <f>('Clean Data'!F76-'Clean Data'!F72)/'Clean Data'!B72</f>
        <v>1.1027336378564748E-2</v>
      </c>
      <c r="F76" s="5">
        <f>-('Clean Data'!G76-'Clean Data'!G72)/'Clean Data'!B72</f>
        <v>-2.2081607228046685E-2</v>
      </c>
    </row>
    <row r="77" spans="1:6" x14ac:dyDescent="0.2">
      <c r="A77" s="3" t="str">
        <f>'Clean Data'!A77</f>
        <v>2018-10-01</v>
      </c>
      <c r="B77" s="5">
        <f>('Clean Data'!C77-'Clean Data'!C73)/'Clean Data'!B73</f>
        <v>2.9416676070056141E-2</v>
      </c>
      <c r="C77" s="5">
        <f>('Clean Data'!D77-'Clean Data'!D73)/'Clean Data'!B73</f>
        <v>4.0005775542787175E-3</v>
      </c>
      <c r="D77" s="5">
        <f>('Clean Data'!E77-'Clean Data'!E73)/'Clean Data'!B73</f>
        <v>1.9625799110836159E-2</v>
      </c>
      <c r="E77" s="5">
        <f>('Clean Data'!F77-'Clean Data'!F73)/'Clean Data'!B73</f>
        <v>9.0130832281813955E-3</v>
      </c>
      <c r="F77" s="5">
        <f>-('Clean Data'!G77-'Clean Data'!G73)/'Clean Data'!B73</f>
        <v>-1.3034509541938119E-2</v>
      </c>
    </row>
    <row r="78" spans="1:6" x14ac:dyDescent="0.2">
      <c r="A78" s="3" t="str">
        <f>'Clean Data'!A78</f>
        <v>2019-01-01</v>
      </c>
      <c r="B78" s="5">
        <f>('Clean Data'!C78-'Clean Data'!C74)/'Clean Data'!B74</f>
        <v>3.0873658287851182E-2</v>
      </c>
      <c r="C78" s="5">
        <f>('Clean Data'!D78-'Clean Data'!D74)/'Clean Data'!B74</f>
        <v>3.6095588429398019E-3</v>
      </c>
      <c r="D78" s="5">
        <f>('Clean Data'!E78-'Clean Data'!E74)/'Clean Data'!B74</f>
        <v>1.7917775952990229E-2</v>
      </c>
      <c r="E78" s="5">
        <f>('Clean Data'!F78-'Clean Data'!F74)/'Clean Data'!B74</f>
        <v>1.3506019700839399E-3</v>
      </c>
      <c r="F78" s="5">
        <f>-('Clean Data'!G78-'Clean Data'!G74)/'Clean Data'!B74</f>
        <v>7.4015921257964455E-3</v>
      </c>
    </row>
    <row r="79" spans="1:6" x14ac:dyDescent="0.2">
      <c r="A79" s="3" t="str">
        <f>'Clean Data'!A79</f>
        <v>2019-04-01</v>
      </c>
      <c r="B79" s="5">
        <f>('Clean Data'!C79-'Clean Data'!C75)/'Clean Data'!B75</f>
        <v>3.1308919452647792E-2</v>
      </c>
      <c r="C79" s="5">
        <f>('Clean Data'!D79-'Clean Data'!D75)/'Clean Data'!B75</f>
        <v>6.1599751421433403E-3</v>
      </c>
      <c r="D79" s="5">
        <f>('Clean Data'!E79-'Clean Data'!E75)/'Clean Data'!B75</f>
        <v>1.627265400927784E-2</v>
      </c>
      <c r="E79" s="5">
        <f>('Clean Data'!F79-'Clean Data'!F75)/'Clean Data'!B75</f>
        <v>-3.0425404002122907E-3</v>
      </c>
      <c r="F79" s="5">
        <f>-('Clean Data'!G79-'Clean Data'!G75)/'Clean Data'!B75</f>
        <v>1.5267716417973167E-2</v>
      </c>
    </row>
    <row r="80" spans="1:6" x14ac:dyDescent="0.2">
      <c r="A80" s="3" t="str">
        <f>'Clean Data'!A80</f>
        <v>2019-07-01</v>
      </c>
      <c r="B80" s="5">
        <f>('Clean Data'!C80-'Clean Data'!C76)/'Clean Data'!B76</f>
        <v>2.6874020736548616E-2</v>
      </c>
      <c r="C80" s="5">
        <f>('Clean Data'!D80-'Clean Data'!D76)/'Clean Data'!B76</f>
        <v>2.3947196753740577E-4</v>
      </c>
      <c r="D80" s="5">
        <f>('Clean Data'!E80-'Clean Data'!E76)/'Clean Data'!B76</f>
        <v>1.4296759155165905E-2</v>
      </c>
      <c r="E80" s="5">
        <f>('Clean Data'!F80-'Clean Data'!F76)/'Clean Data'!B76</f>
        <v>-2.7322124718629414E-4</v>
      </c>
      <c r="F80" s="5">
        <f>-('Clean Data'!G80-'Clean Data'!G76)/'Clean Data'!B76</f>
        <v>1.7956095342849143E-2</v>
      </c>
    </row>
    <row r="81" spans="1:6" x14ac:dyDescent="0.2">
      <c r="A81" s="3" t="str">
        <f>'Clean Data'!A81</f>
        <v>2019-10-01</v>
      </c>
      <c r="B81" s="5">
        <f>('Clean Data'!C81-'Clean Data'!C77)/'Clean Data'!B77</f>
        <v>2.5406928098648217E-2</v>
      </c>
      <c r="C81" s="5">
        <f>('Clean Data'!D81-'Clean Data'!D77)/'Clean Data'!B77</f>
        <v>4.8002011427438596E-4</v>
      </c>
      <c r="D81" s="5">
        <f>('Clean Data'!E81-'Clean Data'!E77)/'Clean Data'!B77</f>
        <v>1.0502424889509331E-2</v>
      </c>
      <c r="E81" s="5">
        <f>('Clean Data'!F81-'Clean Data'!F77)/'Clean Data'!B77</f>
        <v>-2.1699828305644831E-3</v>
      </c>
      <c r="F81" s="5">
        <f>-('Clean Data'!G81-'Clean Data'!G77)/'Clean Data'!B77</f>
        <v>1.9375132123406889E-2</v>
      </c>
    </row>
    <row r="82" spans="1:6" x14ac:dyDescent="0.2">
      <c r="A82" s="3" t="str">
        <f>'Clean Data'!A82</f>
        <v>2020-01-01</v>
      </c>
      <c r="B82" s="5">
        <f>('Clean Data'!C82-'Clean Data'!C78)/'Clean Data'!B78</f>
        <v>1.5792640864478683E-2</v>
      </c>
      <c r="C82" s="5">
        <f>('Clean Data'!D82-'Clean Data'!D78)/'Clean Data'!B78</f>
        <v>2.5807411052473812E-3</v>
      </c>
      <c r="D82" s="5">
        <f>('Clean Data'!E82-'Clean Data'!E78)/'Clean Data'!B78</f>
        <v>3.8428965719017991E-3</v>
      </c>
      <c r="E82" s="5">
        <f>('Clean Data'!F82-'Clean Data'!F78)/'Clean Data'!B78</f>
        <v>-1.4236316021320136E-3</v>
      </c>
      <c r="F82" s="5">
        <f>-('Clean Data'!G82-'Clean Data'!G78)/'Clean Data'!B78</f>
        <v>2.0064714606451723E-2</v>
      </c>
    </row>
    <row r="83" spans="1:6" x14ac:dyDescent="0.2">
      <c r="A83" s="3" t="str">
        <f>'Clean Data'!A83</f>
        <v>2020-04-01</v>
      </c>
      <c r="B83" s="5">
        <f>('Clean Data'!C83-'Clean Data'!C79)/'Clean Data'!B79</f>
        <v>-2.9364392264903946E-2</v>
      </c>
      <c r="C83" s="5">
        <f>('Clean Data'!D83-'Clean Data'!D79)/'Clean Data'!B79</f>
        <v>-5.1239901781247555E-3</v>
      </c>
      <c r="D83" s="5">
        <f>('Clean Data'!E83-'Clean Data'!E79)/'Clean Data'!B79</f>
        <v>-2.8835516206251383E-2</v>
      </c>
      <c r="E83" s="5">
        <f>('Clean Data'!F83-'Clean Data'!F79)/'Clean Data'!B79</f>
        <v>-3.1626469929913539E-2</v>
      </c>
      <c r="F83" s="5">
        <f>-('Clean Data'!G83-'Clean Data'!G79)/'Clean Data'!B79</f>
        <v>4.6171427456089882E-2</v>
      </c>
    </row>
    <row r="84" spans="1:6" x14ac:dyDescent="0.2">
      <c r="A84" s="3" t="str">
        <f>'Clean Data'!A84</f>
        <v>2020-07-01</v>
      </c>
      <c r="B84" s="5">
        <f>('Clean Data'!C84-'Clean Data'!C80)/'Clean Data'!B80</f>
        <v>-2.1930750726427473E-2</v>
      </c>
      <c r="C84" s="5">
        <f>('Clean Data'!D84-'Clean Data'!D80)/'Clean Data'!B80</f>
        <v>7.2568231983733255E-3</v>
      </c>
      <c r="D84" s="5">
        <f>('Clean Data'!E84-'Clean Data'!E80)/'Clean Data'!B80</f>
        <v>-2.2469801805159225E-2</v>
      </c>
      <c r="E84" s="5">
        <f>('Clean Data'!F84-'Clean Data'!F80)/'Clean Data'!B80</f>
        <v>-2.4208806832311979E-2</v>
      </c>
      <c r="F84" s="5">
        <f>-('Clean Data'!G84-'Clean Data'!G80)/'Clean Data'!B80</f>
        <v>3.9733486643201268E-2</v>
      </c>
    </row>
    <row r="85" spans="1:6" x14ac:dyDescent="0.2">
      <c r="A85" s="3" t="str">
        <f>'Clean Data'!A85</f>
        <v>2020-10-01</v>
      </c>
      <c r="B85" s="5">
        <f>('Clean Data'!C85-'Clean Data'!C81)/'Clean Data'!B81</f>
        <v>-2.3004075398545428E-2</v>
      </c>
      <c r="C85" s="5">
        <f>('Clean Data'!D85-'Clean Data'!D81)/'Clean Data'!B81</f>
        <v>1.8708813835030397E-3</v>
      </c>
      <c r="D85" s="5">
        <f>('Clean Data'!E85-'Clean Data'!E81)/'Clean Data'!B81</f>
        <v>-1.7400071498541839E-2</v>
      </c>
      <c r="E85" s="5">
        <f>('Clean Data'!F85-'Clean Data'!F81)/'Clean Data'!B81</f>
        <v>-1.2553724642408092E-2</v>
      </c>
      <c r="F85" s="5">
        <f>-('Clean Data'!G85-'Clean Data'!G81)/'Clean Data'!B81</f>
        <v>2.5562532923878712E-2</v>
      </c>
    </row>
    <row r="86" spans="1:6" x14ac:dyDescent="0.2">
      <c r="A86" s="3" t="str">
        <f>'Clean Data'!A86</f>
        <v>2021-01-01</v>
      </c>
      <c r="B86" s="5">
        <f>('Clean Data'!C86-'Clean Data'!C82)/'Clean Data'!B82</f>
        <v>-1.6095681134278058E-2</v>
      </c>
      <c r="C86" s="5">
        <f>('Clean Data'!D86-'Clean Data'!D82)/'Clean Data'!B82</f>
        <v>1.9890898461860599E-3</v>
      </c>
      <c r="D86" s="5">
        <f>('Clean Data'!E86-'Clean Data'!E82)/'Clean Data'!B82</f>
        <v>-8.6647277907563533E-3</v>
      </c>
      <c r="E86" s="5">
        <f>('Clean Data'!F86-'Clean Data'!F82)/'Clean Data'!B82</f>
        <v>4.8564191535229069E-3</v>
      </c>
      <c r="F86" s="5">
        <f>-('Clean Data'!G86-'Clean Data'!G82)/'Clean Data'!B82</f>
        <v>-5.4447323589128021E-3</v>
      </c>
    </row>
    <row r="87" spans="1:6" x14ac:dyDescent="0.2">
      <c r="A87" s="3" t="str">
        <f>'Clean Data'!A87</f>
        <v>2021-04-01</v>
      </c>
      <c r="B87" s="5">
        <f>('Clean Data'!C87-'Clean Data'!C83)/'Clean Data'!B83</f>
        <v>2.7489601709772986E-2</v>
      </c>
      <c r="C87" s="5">
        <f>('Clean Data'!D87-'Clean Data'!D83)/'Clean Data'!B83</f>
        <v>6.7449813853958391E-3</v>
      </c>
      <c r="D87" s="5">
        <f>('Clean Data'!E87-'Clean Data'!E83)/'Clean Data'!B83</f>
        <v>2.5267447091866846E-2</v>
      </c>
      <c r="E87" s="5">
        <f>('Clean Data'!F87-'Clean Data'!F83)/'Clean Data'!B83</f>
        <v>4.867614423502762E-2</v>
      </c>
      <c r="F87" s="5">
        <f>-('Clean Data'!G87-'Clean Data'!G83)/'Clean Data'!B83</f>
        <v>-4.927420183234503E-2</v>
      </c>
    </row>
    <row r="88" spans="1:6" x14ac:dyDescent="0.2">
      <c r="A88" s="3" t="str">
        <f>'Clean Data'!A88</f>
        <v>2021-07-01</v>
      </c>
      <c r="B88" s="5">
        <f>('Clean Data'!C88-'Clean Data'!C84)/'Clean Data'!B84</f>
        <v>1.1999314327350597E-2</v>
      </c>
      <c r="C88" s="5">
        <f>('Clean Data'!D88-'Clean Data'!D84)/'Clean Data'!B84</f>
        <v>8.1573951204077318E-4</v>
      </c>
      <c r="D88" s="5">
        <f>('Clean Data'!E88-'Clean Data'!E84)/'Clean Data'!B84</f>
        <v>1.7156056731466082E-2</v>
      </c>
      <c r="E88" s="5">
        <f>('Clean Data'!F88-'Clean Data'!F84)/'Clean Data'!B84</f>
        <v>4.2687558482297681E-2</v>
      </c>
      <c r="F88" s="5">
        <f>-('Clean Data'!G88-'Clean Data'!G84)/'Clean Data'!B84</f>
        <v>-4.7285533347442149E-2</v>
      </c>
    </row>
    <row r="89" spans="1:6" x14ac:dyDescent="0.2">
      <c r="A89" s="3" t="str">
        <f>'Clean Data'!A89</f>
        <v>2021-10-01</v>
      </c>
      <c r="B89" s="5">
        <f>('Clean Data'!C89-'Clean Data'!C85)/'Clean Data'!B85</f>
        <v>2.2169499433592074E-2</v>
      </c>
      <c r="C89" s="5">
        <f>('Clean Data'!D89-'Clean Data'!D85)/'Clean Data'!B85</f>
        <v>4.4564489023961196E-3</v>
      </c>
      <c r="D89" s="5">
        <f>('Clean Data'!E89-'Clean Data'!E85)/'Clean Data'!B85</f>
        <v>1.5899439030490934E-2</v>
      </c>
      <c r="E89" s="5">
        <f>('Clean Data'!F89-'Clean Data'!F85)/'Clean Data'!B85</f>
        <v>4.5028760378551705E-2</v>
      </c>
      <c r="F89" s="5">
        <f>-('Clean Data'!G89-'Clean Data'!G85)/'Clean Data'!B85</f>
        <v>-5.5620494913358347E-2</v>
      </c>
    </row>
    <row r="90" spans="1:6" x14ac:dyDescent="0.2">
      <c r="A90" s="3" t="str">
        <f>'Clean Data'!A90</f>
        <v>2022-01-01</v>
      </c>
      <c r="B90" s="5">
        <f>('Clean Data'!C90-'Clean Data'!C86)/'Clean Data'!B86</f>
        <v>2.2631046780172113E-2</v>
      </c>
      <c r="C90" s="5">
        <f>('Clean Data'!D90-'Clean Data'!D86)/'Clean Data'!B86</f>
        <v>-5.5614851403510074E-3</v>
      </c>
      <c r="D90" s="5">
        <f>('Clean Data'!E90-'Clean Data'!E86)/'Clean Data'!B86</f>
        <v>1.3362445902758174E-2</v>
      </c>
      <c r="E90" s="5">
        <f>('Clean Data'!F90-'Clean Data'!F86)/'Clean Data'!B86</f>
        <v>3.4593979811508919E-2</v>
      </c>
      <c r="F90" s="5">
        <f>-('Clean Data'!G90-'Clean Data'!G86)/'Clean Data'!B86</f>
        <v>-3.5050988206257051E-2</v>
      </c>
    </row>
    <row r="91" spans="1:6" x14ac:dyDescent="0.2">
      <c r="A91" s="3" t="str">
        <f>'Clean Data'!A91</f>
        <v>2022-04-01</v>
      </c>
      <c r="B91" s="5">
        <f>('Clean Data'!C91-'Clean Data'!C87)/'Clean Data'!B87</f>
        <v>2.456089361385512E-2</v>
      </c>
      <c r="C91" s="5">
        <f>('Clean Data'!D91-'Clean Data'!D87)/'Clean Data'!B87</f>
        <v>-3.8908190713595873E-3</v>
      </c>
      <c r="D91" s="5">
        <f>('Clean Data'!E91-'Clean Data'!E87)/'Clean Data'!B87</f>
        <v>1.207197698113118E-2</v>
      </c>
      <c r="E91" s="5">
        <f>('Clean Data'!F91-'Clean Data'!F87)/'Clean Data'!B87</f>
        <v>4.1019722393073291E-2</v>
      </c>
      <c r="F91" s="5">
        <f>-('Clean Data'!G91-'Clean Data'!G87)/'Clean Data'!B87</f>
        <v>-3.1878507076016485E-2</v>
      </c>
    </row>
    <row r="92" spans="1:6" x14ac:dyDescent="0.2">
      <c r="A92" s="3" t="str">
        <f>'Clean Data'!A92</f>
        <v>2022-07-01</v>
      </c>
      <c r="B92" s="5">
        <f>('Clean Data'!C92-'Clean Data'!C88)/'Clean Data'!B88</f>
        <v>3.3704587201872187E-2</v>
      </c>
      <c r="C92" s="5">
        <f>('Clean Data'!D92-'Clean Data'!D88)/'Clean Data'!B88</f>
        <v>-1.6472176524052679E-3</v>
      </c>
      <c r="D92" s="5">
        <f>('Clean Data'!E92-'Clean Data'!E88)/'Clean Data'!B88</f>
        <v>1.3086775739990265E-2</v>
      </c>
      <c r="E92" s="5">
        <f>('Clean Data'!F92-'Clean Data'!F88)/'Clean Data'!B88</f>
        <v>4.1758997931181839E-2</v>
      </c>
      <c r="F92" s="5">
        <f>-('Clean Data'!G92-'Clean Data'!G88)/'Clean Data'!B88</f>
        <v>-3.8204444881364256E-2</v>
      </c>
    </row>
    <row r="93" spans="1:6" x14ac:dyDescent="0.2">
      <c r="A93" s="3" t="str">
        <f>'Clean Data'!A93</f>
        <v>2022-10-01</v>
      </c>
      <c r="B93" s="5">
        <f>('Clean Data'!C93-'Clean Data'!C89)/'Clean Data'!B89</f>
        <v>2.6547210270850111E-2</v>
      </c>
      <c r="C93" s="5">
        <f>('Clean Data'!D93-'Clean Data'!D89)/'Clean Data'!B89</f>
        <v>-3.4151220994213779E-3</v>
      </c>
      <c r="D93" s="5">
        <f>('Clean Data'!E93-'Clean Data'!E89)/'Clean Data'!B89</f>
        <v>1.0932065224836059E-2</v>
      </c>
      <c r="E93" s="5">
        <f>('Clean Data'!F93-'Clean Data'!F89)/'Clean Data'!B89</f>
        <v>2.6448056278712172E-2</v>
      </c>
      <c r="F93" s="5">
        <f>-('Clean Data'!G93-'Clean Data'!G89)/'Clean Data'!B89</f>
        <v>-8.9998213401669414E-3</v>
      </c>
    </row>
    <row r="94" spans="1:6" x14ac:dyDescent="0.2">
      <c r="A94" s="3" t="str">
        <f>'Clean Data'!A94</f>
        <v>2023-01-01</v>
      </c>
      <c r="B94" s="5">
        <f>('Clean Data'!C94-'Clean Data'!C90)/'Clean Data'!B90</f>
        <v>2.5342395004979045E-2</v>
      </c>
      <c r="C94" s="5">
        <f>('Clean Data'!D94-'Clean Data'!D90)/'Clean Data'!B90</f>
        <v>1.8432242892546041E-3</v>
      </c>
      <c r="D94" s="5">
        <f>('Clean Data'!E94-'Clean Data'!E90)/'Clean Data'!B90</f>
        <v>9.6161771247264376E-3</v>
      </c>
      <c r="E94" s="5">
        <f>('Clean Data'!F94-'Clean Data'!F90)/'Clean Data'!B90</f>
        <v>2.2541262768693039E-2</v>
      </c>
      <c r="F94" s="5">
        <f>-('Clean Data'!G94-'Clean Data'!G90)/'Clean Data'!B90</f>
        <v>-8.2748871953431027E-3</v>
      </c>
    </row>
    <row r="95" spans="1:6" x14ac:dyDescent="0.2">
      <c r="A95" s="3" t="str">
        <f>'Clean Data'!A95</f>
        <v>2023-04-01</v>
      </c>
      <c r="B95" s="5">
        <f>('Clean Data'!C95-'Clean Data'!C91)/'Clean Data'!B91</f>
        <v>2.6496724022146968E-2</v>
      </c>
      <c r="C95" s="5">
        <f>('Clean Data'!D95-'Clean Data'!D91)/'Clean Data'!B91</f>
        <v>7.4494815425055916E-3</v>
      </c>
      <c r="D95" s="5">
        <f>('Clean Data'!E95-'Clean Data'!E91)/'Clean Data'!B91</f>
        <v>1.1597688978031706E-2</v>
      </c>
      <c r="E95" s="5">
        <f>('Clean Data'!F95-'Clean Data'!F91)/'Clean Data'!B91</f>
        <v>-8.5165421003778542E-4</v>
      </c>
      <c r="F95" s="5">
        <f>-('Clean Data'!G95-'Clean Data'!G91)/'Clean Data'!B91</f>
        <v>3.2774227911365355E-3</v>
      </c>
    </row>
    <row r="96" spans="1:6" x14ac:dyDescent="0.2">
      <c r="A96" s="3" t="str">
        <f>'Clean Data'!A96</f>
        <v>2023-07-01</v>
      </c>
      <c r="B96" s="5">
        <f>('Clean Data'!C96-'Clean Data'!C92)/'Clean Data'!B92</f>
        <v>2.8407108058227076E-2</v>
      </c>
      <c r="C96" s="5">
        <f>('Clean Data'!D96-'Clean Data'!D92)/'Clean Data'!B92</f>
        <v>-2.4969632305025117E-3</v>
      </c>
      <c r="D96" s="5">
        <f>('Clean Data'!E96-'Clean Data'!E92)/'Clean Data'!B92</f>
        <v>1.2444141081017103E-2</v>
      </c>
      <c r="E96" s="5">
        <f>('Clean Data'!F96-'Clean Data'!F92)/'Clean Data'!B92</f>
        <v>-6.3869054181679248E-3</v>
      </c>
      <c r="F96" s="5">
        <f>-('Clean Data'!G96-'Clean Data'!G92)/'Clean Data'!B92</f>
        <v>1.5495189690774673E-2</v>
      </c>
    </row>
    <row r="97" spans="1:6" x14ac:dyDescent="0.2">
      <c r="A97" s="3" t="str">
        <f>'Clean Data'!A97</f>
        <v>2023-10-01</v>
      </c>
      <c r="B97" s="5">
        <f>('Clean Data'!C97-'Clean Data'!C93)/'Clean Data'!B93</f>
        <v>2.6567083092382562E-2</v>
      </c>
      <c r="C97" s="5">
        <f>('Clean Data'!D97-'Clean Data'!D93)/'Clean Data'!B93</f>
        <v>2.2284112583424182E-3</v>
      </c>
      <c r="D97" s="5">
        <f>('Clean Data'!E97-'Clean Data'!E93)/'Clean Data'!B93</f>
        <v>1.3625664017685758E-2</v>
      </c>
      <c r="E97" s="5">
        <f>('Clean Data'!F97-'Clean Data'!F93)/'Clean Data'!B93</f>
        <v>1.9312066275783833E-3</v>
      </c>
      <c r="F97" s="5">
        <f>-('Clean Data'!G97-'Clean Data'!G93)/'Clean Data'!B93</f>
        <v>-4.1299704721761753E-4</v>
      </c>
    </row>
    <row r="98" spans="1:6" x14ac:dyDescent="0.2">
      <c r="A98" s="3" t="str">
        <f>'Clean Data'!A98</f>
        <v>2024-01-01</v>
      </c>
      <c r="B98" s="5">
        <f>('Clean Data'!C98-'Clean Data'!C94)/'Clean Data'!B94</f>
        <v>2.8802543236523818E-2</v>
      </c>
      <c r="C98" s="5">
        <f>('Clean Data'!D98-'Clean Data'!D94)/'Clean Data'!B94</f>
        <v>1.2984146994035111E-2</v>
      </c>
      <c r="D98" s="5">
        <f>('Clean Data'!E98-'Clean Data'!E94)/'Clean Data'!B94</f>
        <v>1.5012256652704933E-2</v>
      </c>
      <c r="E98" s="5">
        <f>('Clean Data'!F98-'Clean Data'!F94)/'Clean Data'!B94</f>
        <v>4.2100633023626427E-3</v>
      </c>
      <c r="F98" s="5">
        <f>-('Clean Data'!G98-'Clean Data'!G94)/'Clean Data'!B94</f>
        <v>-6.2196339241427341E-3</v>
      </c>
    </row>
    <row r="99" spans="1:6" x14ac:dyDescent="0.2">
      <c r="A99" s="3" t="str">
        <f>'Clean Data'!A99</f>
        <v>2024-04-01</v>
      </c>
      <c r="B99" s="5">
        <f>('Clean Data'!C99-'Clean Data'!C95)/'Clean Data'!B95</f>
        <v>2.6819069130791108E-2</v>
      </c>
      <c r="C99" s="5">
        <f>('Clean Data'!D99-'Clean Data'!D95)/'Clean Data'!B95</f>
        <v>9.0434557273217405E-4</v>
      </c>
      <c r="D99" s="5">
        <f>('Clean Data'!E99-'Clean Data'!E95)/'Clean Data'!B95</f>
        <v>1.3929506488268508E-2</v>
      </c>
      <c r="E99" s="5">
        <f>('Clean Data'!F99-'Clean Data'!F95)/'Clean Data'!B95</f>
        <v>1.7352815213358585E-2</v>
      </c>
      <c r="F99" s="5">
        <f>-('Clean Data'!G99-'Clean Data'!G95)/'Clean Data'!B95</f>
        <v>-1.2735432301051843E-2</v>
      </c>
    </row>
    <row r="100" spans="1:6" x14ac:dyDescent="0.2">
      <c r="A100" s="3" t="str">
        <f>'Clean Data'!A100</f>
        <v>2024-07-01</v>
      </c>
      <c r="B100" s="5">
        <f>('Clean Data'!C100-'Clean Data'!C96)/'Clean Data'!B96</f>
        <v>2.7438773997829433E-2</v>
      </c>
      <c r="C100" s="5">
        <f>('Clean Data'!D100-'Clean Data'!D96)/'Clean Data'!B96</f>
        <v>2.9795444619470082E-3</v>
      </c>
      <c r="D100" s="5">
        <f>('Clean Data'!E100-'Clean Data'!E96)/'Clean Data'!B96</f>
        <v>1.4483986179468387E-2</v>
      </c>
      <c r="E100" s="5">
        <f>('Clean Data'!F100-'Clean Data'!F96)/'Clean Data'!B96</f>
        <v>2.109194190946612E-2</v>
      </c>
      <c r="F100" s="5">
        <f>-('Clean Data'!G100-'Clean Data'!G96)/'Clean Data'!B96</f>
        <v>-2.4377904072213741E-2</v>
      </c>
    </row>
    <row r="101" spans="1:6" x14ac:dyDescent="0.2">
      <c r="A101" s="3" t="str">
        <f>'Clean Data'!A101</f>
        <v>2024-10-01</v>
      </c>
      <c r="B101" s="5">
        <f>('Clean Data'!C101-'Clean Data'!C97)/'Clean Data'!B97</f>
        <v>2.7322916423910971E-2</v>
      </c>
      <c r="C101" s="5">
        <f>('Clean Data'!D101-'Clean Data'!D97)/'Clean Data'!B97</f>
        <v>2.60674064372677E-3</v>
      </c>
      <c r="D101" s="5">
        <f>('Clean Data'!E101-'Clean Data'!E97)/'Clean Data'!B97</f>
        <v>1.3972755685803851E-2</v>
      </c>
      <c r="E101" s="5">
        <f>('Clean Data'!F101-'Clean Data'!F97)/'Clean Data'!B97</f>
        <v>2.1761928516158494E-2</v>
      </c>
      <c r="F101" s="5">
        <f>-('Clean Data'!G101-'Clean Data'!G97)/'Clean Data'!B97</f>
        <v>-1.9677393860717176E-2</v>
      </c>
    </row>
    <row r="102" spans="1:6" x14ac:dyDescent="0.2">
      <c r="A102" s="3" t="str">
        <f>'Clean Data'!A102</f>
        <v>2025-01-01</v>
      </c>
      <c r="B102" s="5">
        <f>('Clean Data'!C102-'Clean Data'!C98)/'Clean Data'!B98</f>
        <v>2.5951614306730965E-2</v>
      </c>
      <c r="C102" s="5">
        <f>('Clean Data'!D102-'Clean Data'!D98)/'Clean Data'!B98</f>
        <v>-1.8254736258034375E-3</v>
      </c>
      <c r="D102" s="5">
        <f>('Clean Data'!E102-'Clean Data'!E98)/'Clean Data'!B98</f>
        <v>1.3263520891046729E-2</v>
      </c>
      <c r="E102" s="5">
        <f>('Clean Data'!F102-'Clean Data'!F98)/'Clean Data'!B98</f>
        <v>2.0013140588565126E-2</v>
      </c>
      <c r="F102" s="5">
        <f>-('Clean Data'!G102-'Clean Data'!G98)/'Clean Data'!B98</f>
        <v>-1.0464810978619694E-2</v>
      </c>
    </row>
    <row r="103" spans="1:6" x14ac:dyDescent="0.2">
      <c r="A103" s="3" t="str">
        <f>'Clean Data'!A103</f>
        <v>2025-04-01</v>
      </c>
      <c r="B103" s="5">
        <f>('Clean Data'!C103-'Clean Data'!C99)/'Clean Data'!B99</f>
        <v>2.7385253774226643E-2</v>
      </c>
      <c r="C103" s="5">
        <f>('Clean Data'!D103-'Clean Data'!D99)/'Clean Data'!B99</f>
        <v>-7.4348547207594665E-2</v>
      </c>
      <c r="D103" s="5">
        <f>('Clean Data'!E103-'Clean Data'!E99)/'Clean Data'!B99</f>
        <v>1.5846745165943338E-2</v>
      </c>
      <c r="E103" s="5">
        <f>('Clean Data'!F103-'Clean Data'!F99)/'Clean Data'!B99</f>
        <v>2.0563383228149084E-2</v>
      </c>
      <c r="F103" s="5">
        <f>-('Clean Data'!G103-'Clean Data'!G99)/'Clean Data'!B99</f>
        <v>-1.6993685869080913E-2</v>
      </c>
    </row>
    <row r="104" spans="1:6" x14ac:dyDescent="0.2">
      <c r="A104" s="3" t="str">
        <f>'Clean Data'!A104</f>
        <v>2025-07-01</v>
      </c>
      <c r="B104" s="5">
        <f>('Clean Data'!C104-'Clean Data'!C100)/'Clean Data'!B100</f>
        <v>2.6847295456001747E-2</v>
      </c>
      <c r="C104" s="5">
        <f>('Clean Data'!D104-'Clean Data'!D100)/'Clean Data'!B100</f>
        <v>-7.0675580874048446E-2</v>
      </c>
      <c r="D104" s="5">
        <f>('Clean Data'!E104-'Clean Data'!E100)/'Clean Data'!B100</f>
        <v>1.6390105607986059E-2</v>
      </c>
      <c r="E104" s="5">
        <f>('Clean Data'!F104-'Clean Data'!F100)/'Clean Data'!B100</f>
        <v>1.8243087921890888E-2</v>
      </c>
      <c r="F104" s="5">
        <f>-('Clean Data'!G104-'Clean Data'!G100)/'Clean Data'!B100</f>
        <v>-3.729566352093738E-3</v>
      </c>
    </row>
    <row r="105" spans="1:6" x14ac:dyDescent="0.2">
      <c r="A105" s="3" t="str">
        <f>'Clean Data'!A105</f>
        <v>2025-10-01</v>
      </c>
      <c r="B105" s="5">
        <f>('Clean Data'!C105-'Clean Data'!C101)/'Clean Data'!B101</f>
        <v>2.7462860231739925E-2</v>
      </c>
      <c r="C105" s="5">
        <f>('Clean Data'!D105-'Clean Data'!D101)/'Clean Data'!B101</f>
        <v>-7.1408904654835431E-2</v>
      </c>
      <c r="D105" s="5">
        <f>('Clean Data'!E105-'Clean Data'!E101)/'Clean Data'!B101</f>
        <v>1.7484454786922295E-2</v>
      </c>
      <c r="E105" s="5">
        <f>('Clean Data'!F105-'Clean Data'!F101)/'Clean Data'!B101</f>
        <v>9.0443574493225404E-3</v>
      </c>
      <c r="F105" s="5">
        <f>-('Clean Data'!G105-'Clean Data'!G101)/'Clean Data'!B101</f>
        <v>-7.1271948418253316E-3</v>
      </c>
    </row>
    <row r="106" spans="1:6" x14ac:dyDescent="0.2">
      <c r="A106" s="3" t="str">
        <f>'Clean Data'!A106</f>
        <v>2026-01-01</v>
      </c>
      <c r="B106" s="5">
        <f>('Clean Data'!C106-'Clean Data'!C102)/'Clean Data'!B102</f>
        <v>2.8435694200265999E-2</v>
      </c>
      <c r="C106" s="5">
        <f>('Clean Data'!D106-'Clean Data'!D102)/'Clean Data'!B102</f>
        <v>-7.4425323435590524E-2</v>
      </c>
      <c r="D106" s="5">
        <f>('Clean Data'!E106-'Clean Data'!E102)/'Clean Data'!B102</f>
        <v>1.8698127994331019E-2</v>
      </c>
      <c r="E106" s="5">
        <f>('Clean Data'!F106-'Clean Data'!F102)/'Clean Data'!B102</f>
        <v>3.3514068420573873E-3</v>
      </c>
      <c r="F106" s="5">
        <f>-('Clean Data'!G106-'Clean Data'!G102)/'Clean Data'!B102</f>
        <v>-1.0259402749648592E-2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Normal="100" workbookViewId="0">
      <selection activeCell="J26" sqref="J26"/>
    </sheetView>
  </sheetViews>
  <sheetFormatPr baseColWidth="10" defaultColWidth="8.6640625" defaultRowHeight="15" customHeight="1" x14ac:dyDescent="0.2"/>
  <cols>
    <col min="1" max="1" width="26.6640625" bestFit="1" customWidth="1"/>
    <col min="2" max="2" width="25.83203125" bestFit="1" customWidth="1"/>
  </cols>
  <sheetData>
    <row r="1" spans="1:2" x14ac:dyDescent="0.2">
      <c r="A1" s="1" t="s">
        <v>113</v>
      </c>
      <c r="B1" s="1" t="s">
        <v>114</v>
      </c>
    </row>
    <row r="2" spans="1:2" x14ac:dyDescent="0.2">
      <c r="A2" s="6" t="s">
        <v>2</v>
      </c>
      <c r="B2" s="7">
        <f>CORREL('Growth Rates'!C6:C106, 'Growth Rates'!B6:B106)</f>
        <v>0.85636696767488452</v>
      </c>
    </row>
    <row r="3" spans="1:2" x14ac:dyDescent="0.2">
      <c r="A3" s="6" t="s">
        <v>3</v>
      </c>
      <c r="B3" s="7">
        <f>CORREL('Growth Rates'!D6:D106, 'Growth Rates'!B6:B106)</f>
        <v>-1.4653647200795194E-2</v>
      </c>
    </row>
    <row r="4" spans="1:2" x14ac:dyDescent="0.2">
      <c r="A4" s="6" t="s">
        <v>4</v>
      </c>
      <c r="B4" s="7">
        <f>CORREL('Growth Rates'!E6:E106, 'Growth Rates'!B6:B106)</f>
        <v>0.64591364380553584</v>
      </c>
    </row>
    <row r="5" spans="1:2" x14ac:dyDescent="0.2">
      <c r="A5" s="6" t="s">
        <v>5</v>
      </c>
      <c r="B5" s="7">
        <f>CORREL('Growth Rates'!F6:F106, 'Growth Rates'!B6:B106)</f>
        <v>0.52140448318555255</v>
      </c>
    </row>
    <row r="6" spans="1:2" x14ac:dyDescent="0.2">
      <c r="A6" s="6" t="s">
        <v>6</v>
      </c>
      <c r="B6" s="7">
        <f>CORREL('Growth Rates'!G6:G106, 'Growth Rates'!B6:B106)</f>
        <v>0.51084147694701698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6"/>
  <sheetViews>
    <sheetView zoomScaleNormal="100" workbookViewId="0">
      <selection activeCell="O18" sqref="O18"/>
    </sheetView>
  </sheetViews>
  <sheetFormatPr baseColWidth="10" defaultColWidth="8.6640625" defaultRowHeight="15" customHeight="1" x14ac:dyDescent="0.2"/>
  <cols>
    <col min="1" max="1" width="10.5" bestFit="1" customWidth="1"/>
    <col min="2" max="2" width="18" bestFit="1" customWidth="1"/>
    <col min="3" max="3" width="25.83203125" bestFit="1" customWidth="1"/>
  </cols>
  <sheetData>
    <row r="1" spans="1:3" x14ac:dyDescent="0.2">
      <c r="A1" s="1" t="s">
        <v>0</v>
      </c>
      <c r="B1" s="1" t="s">
        <v>115</v>
      </c>
      <c r="C1" s="1" t="s">
        <v>116</v>
      </c>
    </row>
    <row r="2" spans="1:3" x14ac:dyDescent="0.2">
      <c r="A2" s="3" t="str">
        <f>'Clean Data'!A2</f>
        <v>2000-01-01</v>
      </c>
      <c r="B2" s="8">
        <f>('Clean Data'!B2*1000000000)/'Clean Data'!H2</f>
        <v>4687703205.8685904</v>
      </c>
      <c r="C2" s="8">
        <f>('Clean Data'!C2*1000000000)/'Clean Data'!H2</f>
        <v>2902018922.9073472</v>
      </c>
    </row>
    <row r="3" spans="1:3" x14ac:dyDescent="0.2">
      <c r="A3" s="3" t="str">
        <f>'Clean Data'!A3</f>
        <v>2000-04-01</v>
      </c>
      <c r="B3" s="8">
        <f>('Clean Data'!B3*1000000000)/'Clean Data'!H3</f>
        <v>4644523401.434556</v>
      </c>
      <c r="C3" s="8">
        <f>('Clean Data'!C3*1000000000)/'Clean Data'!H3</f>
        <v>2945080789.3849354</v>
      </c>
    </row>
    <row r="4" spans="1:3" x14ac:dyDescent="0.2">
      <c r="A4" s="3" t="str">
        <f>'Clean Data'!A4</f>
        <v>2000-07-01</v>
      </c>
      <c r="B4" s="8">
        <f>('Clean Data'!B4*1000000000)/'Clean Data'!H4</f>
        <v>4741173766.6634188</v>
      </c>
      <c r="C4" s="8">
        <f>('Clean Data'!C4*1000000000)/'Clean Data'!H4</f>
        <v>2929112270.3609099</v>
      </c>
    </row>
    <row r="5" spans="1:3" x14ac:dyDescent="0.2">
      <c r="A5" s="3" t="str">
        <f>'Clean Data'!A5</f>
        <v>2000-10-01</v>
      </c>
      <c r="B5" s="8">
        <f>('Clean Data'!B5*1000000000)/'Clean Data'!H5</f>
        <v>4860645181.8528318</v>
      </c>
      <c r="C5" s="8">
        <f>('Clean Data'!C5*1000000000)/'Clean Data'!H5</f>
        <v>2946925198.483922</v>
      </c>
    </row>
    <row r="6" spans="1:3" x14ac:dyDescent="0.2">
      <c r="A6" s="3" t="str">
        <f>'Clean Data'!A6</f>
        <v>2001-01-01</v>
      </c>
      <c r="B6" s="8">
        <f>('Clean Data'!B6*1000000000)/'Clean Data'!H6</f>
        <v>4809377630.1883526</v>
      </c>
      <c r="C6" s="8">
        <f>('Clean Data'!C6*1000000000)/'Clean Data'!H6</f>
        <v>2961241139.1324048</v>
      </c>
    </row>
    <row r="7" spans="1:3" x14ac:dyDescent="0.2">
      <c r="A7" s="3" t="str">
        <f>'Clean Data'!A7</f>
        <v>2001-04-01</v>
      </c>
      <c r="B7" s="8">
        <f>('Clean Data'!B7*1000000000)/'Clean Data'!H7</f>
        <v>4842049522.9013624</v>
      </c>
      <c r="C7" s="8">
        <f>('Clean Data'!C7*1000000000)/'Clean Data'!H7</f>
        <v>2980874756.6406565</v>
      </c>
    </row>
    <row r="8" spans="1:3" x14ac:dyDescent="0.2">
      <c r="A8" s="3" t="str">
        <f>'Clean Data'!A8</f>
        <v>2001-07-01</v>
      </c>
      <c r="B8" s="8">
        <f>('Clean Data'!B8*1000000000)/'Clean Data'!H8</f>
        <v>4826639324.0587606</v>
      </c>
      <c r="C8" s="8">
        <f>('Clean Data'!C8*1000000000)/'Clean Data'!H8</f>
        <v>3003484694.9281621</v>
      </c>
    </row>
    <row r="9" spans="1:3" x14ac:dyDescent="0.2">
      <c r="A9" s="3" t="str">
        <f>'Clean Data'!A9</f>
        <v>2001-10-01</v>
      </c>
      <c r="B9" s="8">
        <f>('Clean Data'!B9*1000000000)/'Clean Data'!H9</f>
        <v>4878464684.9192553</v>
      </c>
      <c r="C9" s="8">
        <f>('Clean Data'!C9*1000000000)/'Clean Data'!H9</f>
        <v>3021245614.2598543</v>
      </c>
    </row>
    <row r="10" spans="1:3" x14ac:dyDescent="0.2">
      <c r="A10" s="3" t="str">
        <f>'Clean Data'!A10</f>
        <v>2002-01-01</v>
      </c>
      <c r="B10" s="8">
        <f>('Clean Data'!B10*1000000000)/'Clean Data'!H10</f>
        <v>4921314692.1455793</v>
      </c>
      <c r="C10" s="8">
        <f>('Clean Data'!C10*1000000000)/'Clean Data'!H10</f>
        <v>3042411090.2277942</v>
      </c>
    </row>
    <row r="11" spans="1:3" x14ac:dyDescent="0.2">
      <c r="A11" s="3" t="str">
        <f>'Clean Data'!A11</f>
        <v>2002-04-01</v>
      </c>
      <c r="B11" s="8">
        <f>('Clean Data'!B11*1000000000)/'Clean Data'!H11</f>
        <v>4968023924.6641817</v>
      </c>
      <c r="C11" s="8">
        <f>('Clean Data'!C11*1000000000)/'Clean Data'!H11</f>
        <v>3059014936.7344985</v>
      </c>
    </row>
    <row r="12" spans="1:3" x14ac:dyDescent="0.2">
      <c r="A12" s="3" t="str">
        <f>'Clean Data'!A12</f>
        <v>2002-07-01</v>
      </c>
      <c r="B12" s="8">
        <f>('Clean Data'!B12*1000000000)/'Clean Data'!H12</f>
        <v>5015137829.6215725</v>
      </c>
      <c r="C12" s="8">
        <f>('Clean Data'!C12*1000000000)/'Clean Data'!H12</f>
        <v>3070508814.6203084</v>
      </c>
    </row>
    <row r="13" spans="1:3" x14ac:dyDescent="0.2">
      <c r="A13" s="3" t="str">
        <f>'Clean Data'!A13</f>
        <v>2002-10-01</v>
      </c>
      <c r="B13" s="8">
        <f>('Clean Data'!B13*1000000000)/'Clean Data'!H13</f>
        <v>5052633856.664752</v>
      </c>
      <c r="C13" s="8">
        <f>('Clean Data'!C13*1000000000)/'Clean Data'!H13</f>
        <v>3088200615.2521095</v>
      </c>
    </row>
    <row r="14" spans="1:3" x14ac:dyDescent="0.2">
      <c r="A14" s="3" t="str">
        <f>'Clean Data'!A14</f>
        <v>2003-01-01</v>
      </c>
      <c r="B14" s="8">
        <f>('Clean Data'!B14*1000000000)/'Clean Data'!H14</f>
        <v>5101748382.5051231</v>
      </c>
      <c r="C14" s="8">
        <f>('Clean Data'!C14*1000000000)/'Clean Data'!H14</f>
        <v>3104110067.483912</v>
      </c>
    </row>
    <row r="15" spans="1:3" x14ac:dyDescent="0.2">
      <c r="A15" s="3" t="str">
        <f>'Clean Data'!A15</f>
        <v>2003-04-01</v>
      </c>
      <c r="B15" s="8">
        <f>('Clean Data'!B15*1000000000)/'Clean Data'!H15</f>
        <v>5143148475.1581564</v>
      </c>
      <c r="C15" s="8">
        <f>('Clean Data'!C15*1000000000)/'Clean Data'!H15</f>
        <v>3124654972.3799968</v>
      </c>
    </row>
    <row r="16" spans="1:3" x14ac:dyDescent="0.2">
      <c r="A16" s="3" t="str">
        <f>'Clean Data'!A16</f>
        <v>2003-07-01</v>
      </c>
      <c r="B16" s="8">
        <f>('Clean Data'!B16*1000000000)/'Clean Data'!H16</f>
        <v>5180514086.023139</v>
      </c>
      <c r="C16" s="8">
        <f>('Clean Data'!C16*1000000000)/'Clean Data'!H16</f>
        <v>3146839380.0229754</v>
      </c>
    </row>
    <row r="17" spans="1:3" x14ac:dyDescent="0.2">
      <c r="A17" s="3" t="str">
        <f>'Clean Data'!A17</f>
        <v>2003-10-01</v>
      </c>
      <c r="B17" s="8">
        <f>('Clean Data'!B17*1000000000)/'Clean Data'!H17</f>
        <v>5215002471.1772871</v>
      </c>
      <c r="C17" s="8">
        <f>('Clean Data'!C17*1000000000)/'Clean Data'!H17</f>
        <v>3196584811.9185553</v>
      </c>
    </row>
    <row r="18" spans="1:3" x14ac:dyDescent="0.2">
      <c r="A18" s="3" t="str">
        <f>'Clean Data'!A18</f>
        <v>2004-01-01</v>
      </c>
      <c r="B18" s="8">
        <f>('Clean Data'!B18*1000000000)/'Clean Data'!H18</f>
        <v>5259618679.3410015</v>
      </c>
      <c r="C18" s="8">
        <f>('Clean Data'!C18*1000000000)/'Clean Data'!H18</f>
        <v>3236262658.3432112</v>
      </c>
    </row>
    <row r="19" spans="1:3" x14ac:dyDescent="0.2">
      <c r="A19" s="3" t="str">
        <f>'Clean Data'!A19</f>
        <v>2004-04-01</v>
      </c>
      <c r="B19" s="8">
        <f>('Clean Data'!B19*1000000000)/'Clean Data'!H19</f>
        <v>5305381418.5818338</v>
      </c>
      <c r="C19" s="8">
        <f>('Clean Data'!C19*1000000000)/'Clean Data'!H19</f>
        <v>3248555033.7917356</v>
      </c>
    </row>
    <row r="20" spans="1:3" x14ac:dyDescent="0.2">
      <c r="A20" s="3" t="str">
        <f>'Clean Data'!A20</f>
        <v>2004-07-01</v>
      </c>
      <c r="B20" s="8">
        <f>('Clean Data'!B20*1000000000)/'Clean Data'!H20</f>
        <v>5352704218.7224846</v>
      </c>
      <c r="C20" s="8">
        <f>('Clean Data'!C20*1000000000)/'Clean Data'!H20</f>
        <v>3262051271.4673338</v>
      </c>
    </row>
    <row r="21" spans="1:3" x14ac:dyDescent="0.2">
      <c r="A21" s="3" t="str">
        <f>'Clean Data'!A21</f>
        <v>2004-10-01</v>
      </c>
      <c r="B21" s="8">
        <f>('Clean Data'!B21*1000000000)/'Clean Data'!H21</f>
        <v>5485726581.7055159</v>
      </c>
      <c r="C21" s="8">
        <f>('Clean Data'!C21*1000000000)/'Clean Data'!H21</f>
        <v>3282750310.9938216</v>
      </c>
    </row>
    <row r="22" spans="1:3" x14ac:dyDescent="0.2">
      <c r="A22" s="3" t="str">
        <f>'Clean Data'!A22</f>
        <v>2005-01-01</v>
      </c>
      <c r="B22" s="8">
        <f>('Clean Data'!B22*1000000000)/'Clean Data'!H22</f>
        <v>5512580937.9367285</v>
      </c>
      <c r="C22" s="8">
        <f>('Clean Data'!C22*1000000000)/'Clean Data'!H22</f>
        <v>3307515564.6005044</v>
      </c>
    </row>
    <row r="23" spans="1:3" x14ac:dyDescent="0.2">
      <c r="A23" s="3" t="str">
        <f>'Clean Data'!A23</f>
        <v>2005-04-01</v>
      </c>
      <c r="B23" s="8">
        <f>('Clean Data'!B23*1000000000)/'Clean Data'!H23</f>
        <v>5557177349.2435894</v>
      </c>
      <c r="C23" s="8">
        <f>('Clean Data'!C23*1000000000)/'Clean Data'!H23</f>
        <v>3330122016.2045083</v>
      </c>
    </row>
    <row r="24" spans="1:3" x14ac:dyDescent="0.2">
      <c r="A24" s="3" t="str">
        <f>'Clean Data'!A24</f>
        <v>2005-07-01</v>
      </c>
      <c r="B24" s="8">
        <f>('Clean Data'!B24*1000000000)/'Clean Data'!H24</f>
        <v>5599797696.4588575</v>
      </c>
      <c r="C24" s="8">
        <f>('Clean Data'!C24*1000000000)/'Clean Data'!H24</f>
        <v>3357994271.1219759</v>
      </c>
    </row>
    <row r="25" spans="1:3" x14ac:dyDescent="0.2">
      <c r="A25" s="3" t="str">
        <f>'Clean Data'!A25</f>
        <v>2005-10-01</v>
      </c>
      <c r="B25" s="8">
        <f>('Clean Data'!B25*1000000000)/'Clean Data'!H25</f>
        <v>5660625895.7729359</v>
      </c>
      <c r="C25" s="8">
        <f>('Clean Data'!C25*1000000000)/'Clean Data'!H25</f>
        <v>3374098584.2533154</v>
      </c>
    </row>
    <row r="26" spans="1:3" x14ac:dyDescent="0.2">
      <c r="A26" s="3" t="str">
        <f>'Clean Data'!A26</f>
        <v>2006-01-01</v>
      </c>
      <c r="B26" s="8">
        <f>('Clean Data'!B26*1000000000)/'Clean Data'!H26</f>
        <v>5716538296.981122</v>
      </c>
      <c r="C26" s="8">
        <f>('Clean Data'!C26*1000000000)/'Clean Data'!H26</f>
        <v>3364069230.4237289</v>
      </c>
    </row>
    <row r="27" spans="1:3" x14ac:dyDescent="0.2">
      <c r="A27" s="3" t="str">
        <f>'Clean Data'!A27</f>
        <v>2006-04-01</v>
      </c>
      <c r="B27" s="8">
        <f>('Clean Data'!B27*1000000000)/'Clean Data'!H27</f>
        <v>5770345432.1189079</v>
      </c>
      <c r="C27" s="8">
        <f>('Clean Data'!C27*1000000000)/'Clean Data'!H27</f>
        <v>3389664894.3710527</v>
      </c>
    </row>
    <row r="28" spans="1:3" x14ac:dyDescent="0.2">
      <c r="A28" s="3" t="str">
        <f>'Clean Data'!A28</f>
        <v>2006-07-01</v>
      </c>
      <c r="B28" s="8">
        <f>('Clean Data'!B28*1000000000)/'Clean Data'!H28</f>
        <v>5843995844.8877411</v>
      </c>
      <c r="C28" s="8">
        <f>('Clean Data'!C28*1000000000)/'Clean Data'!H28</f>
        <v>3413177012.0313773</v>
      </c>
    </row>
    <row r="29" spans="1:3" x14ac:dyDescent="0.2">
      <c r="A29" s="3" t="str">
        <f>'Clean Data'!A29</f>
        <v>2006-10-01</v>
      </c>
      <c r="B29" s="8">
        <f>('Clean Data'!B29*1000000000)/'Clean Data'!H29</f>
        <v>5917630878.6766882</v>
      </c>
      <c r="C29" s="8">
        <f>('Clean Data'!C29*1000000000)/'Clean Data'!H29</f>
        <v>3445647384.3351808</v>
      </c>
    </row>
    <row r="30" spans="1:3" x14ac:dyDescent="0.2">
      <c r="A30" s="3" t="str">
        <f>'Clean Data'!A30</f>
        <v>2007-01-01</v>
      </c>
      <c r="B30" s="8">
        <f>('Clean Data'!B30*1000000000)/'Clean Data'!H30</f>
        <v>5994144629.5621395</v>
      </c>
      <c r="C30" s="8">
        <f>('Clean Data'!C30*1000000000)/'Clean Data'!H30</f>
        <v>3473170536.5749431</v>
      </c>
    </row>
    <row r="31" spans="1:3" x14ac:dyDescent="0.2">
      <c r="A31" s="3" t="str">
        <f>'Clean Data'!A31</f>
        <v>2007-04-01</v>
      </c>
      <c r="B31" s="8">
        <f>('Clean Data'!B31*1000000000)/'Clean Data'!H31</f>
        <v>6074219843.2565546</v>
      </c>
      <c r="C31" s="8">
        <f>('Clean Data'!C31*1000000000)/'Clean Data'!H31</f>
        <v>3506855135.4025531</v>
      </c>
    </row>
    <row r="32" spans="1:3" x14ac:dyDescent="0.2">
      <c r="A32" s="3" t="str">
        <f>'Clean Data'!A32</f>
        <v>2007-07-01</v>
      </c>
      <c r="B32" s="8">
        <f>('Clean Data'!B32*1000000000)/'Clean Data'!H32</f>
        <v>6149972469.7343102</v>
      </c>
      <c r="C32" s="8">
        <f>('Clean Data'!C32*1000000000)/'Clean Data'!H32</f>
        <v>3543899673.2410178</v>
      </c>
    </row>
    <row r="33" spans="1:3" x14ac:dyDescent="0.2">
      <c r="A33" s="3" t="str">
        <f>'Clean Data'!A33</f>
        <v>2007-10-01</v>
      </c>
      <c r="B33" s="8">
        <f>('Clean Data'!B33*1000000000)/'Clean Data'!H33</f>
        <v>6183178148.4704542</v>
      </c>
      <c r="C33" s="8">
        <f>('Clean Data'!C33*1000000000)/'Clean Data'!H33</f>
        <v>3583729341.0884295</v>
      </c>
    </row>
    <row r="34" spans="1:3" x14ac:dyDescent="0.2">
      <c r="A34" s="3" t="str">
        <f>'Clean Data'!A34</f>
        <v>2008-01-01</v>
      </c>
      <c r="B34" s="8">
        <f>('Clean Data'!B34*1000000000)/'Clean Data'!H34</f>
        <v>6300318216.8858299</v>
      </c>
      <c r="C34" s="8">
        <f>('Clean Data'!C34*1000000000)/'Clean Data'!H34</f>
        <v>3619318769.6180043</v>
      </c>
    </row>
    <row r="35" spans="1:3" x14ac:dyDescent="0.2">
      <c r="A35" s="3" t="str">
        <f>'Clean Data'!A35</f>
        <v>2008-04-01</v>
      </c>
      <c r="B35" s="8">
        <f>('Clean Data'!B35*1000000000)/'Clean Data'!H35</f>
        <v>6373326705.5568714</v>
      </c>
      <c r="C35" s="8">
        <f>('Clean Data'!C35*1000000000)/'Clean Data'!H35</f>
        <v>3654621230.7697086</v>
      </c>
    </row>
    <row r="36" spans="1:3" x14ac:dyDescent="0.2">
      <c r="A36" s="3" t="str">
        <f>'Clean Data'!A36</f>
        <v>2008-07-01</v>
      </c>
      <c r="B36" s="8">
        <f>('Clean Data'!B36*1000000000)/'Clean Data'!H36</f>
        <v>6437291951.1710186</v>
      </c>
      <c r="C36" s="8">
        <f>('Clean Data'!C36*1000000000)/'Clean Data'!H36</f>
        <v>3681474483.7823386</v>
      </c>
    </row>
    <row r="37" spans="1:3" x14ac:dyDescent="0.2">
      <c r="A37" s="3" t="str">
        <f>'Clean Data'!A37</f>
        <v>2008-10-01</v>
      </c>
      <c r="B37" s="8">
        <f>('Clean Data'!B37*1000000000)/'Clean Data'!H37</f>
        <v>6427884901.6645432</v>
      </c>
      <c r="C37" s="8">
        <f>('Clean Data'!C37*1000000000)/'Clean Data'!H37</f>
        <v>3715306039.9982042</v>
      </c>
    </row>
    <row r="38" spans="1:3" x14ac:dyDescent="0.2">
      <c r="A38" s="3" t="str">
        <f>'Clean Data'!A38</f>
        <v>2009-01-01</v>
      </c>
      <c r="B38" s="8">
        <f>('Clean Data'!B38*1000000000)/'Clean Data'!H38</f>
        <v>6495092094.9651403</v>
      </c>
      <c r="C38" s="8">
        <f>('Clean Data'!C38*1000000000)/'Clean Data'!H38</f>
        <v>3751688420.5769434</v>
      </c>
    </row>
    <row r="39" spans="1:3" x14ac:dyDescent="0.2">
      <c r="A39" s="3" t="str">
        <f>'Clean Data'!A39</f>
        <v>2009-04-01</v>
      </c>
      <c r="B39" s="8">
        <f>('Clean Data'!B39*1000000000)/'Clean Data'!H39</f>
        <v>6556323324.0256882</v>
      </c>
      <c r="C39" s="8">
        <f>('Clean Data'!C39*1000000000)/'Clean Data'!H39</f>
        <v>3775968733.0556879</v>
      </c>
    </row>
    <row r="40" spans="1:3" x14ac:dyDescent="0.2">
      <c r="A40" s="3" t="str">
        <f>'Clean Data'!A40</f>
        <v>2009-07-01</v>
      </c>
      <c r="B40" s="8">
        <f>('Clean Data'!B40*1000000000)/'Clean Data'!H40</f>
        <v>6637594354.2045374</v>
      </c>
      <c r="C40" s="8">
        <f>('Clean Data'!C40*1000000000)/'Clean Data'!H40</f>
        <v>3806270501.4152994</v>
      </c>
    </row>
    <row r="41" spans="1:3" x14ac:dyDescent="0.2">
      <c r="A41" s="3" t="str">
        <f>'Clean Data'!A41</f>
        <v>2009-10-01</v>
      </c>
      <c r="B41" s="8">
        <f>('Clean Data'!B41*1000000000)/'Clean Data'!H41</f>
        <v>6714148714.9283724</v>
      </c>
      <c r="C41" s="8">
        <f>('Clean Data'!C41*1000000000)/'Clean Data'!H41</f>
        <v>3834704006.1745257</v>
      </c>
    </row>
    <row r="42" spans="1:3" x14ac:dyDescent="0.2">
      <c r="A42" s="3" t="str">
        <f>'Clean Data'!A42</f>
        <v>2010-01-01</v>
      </c>
      <c r="B42" s="8">
        <f>('Clean Data'!B42*1000000000)/'Clean Data'!H42</f>
        <v>6801203252.1164932</v>
      </c>
      <c r="C42" s="8">
        <f>('Clean Data'!C42*1000000000)/'Clean Data'!H42</f>
        <v>3861684908.2944298</v>
      </c>
    </row>
    <row r="43" spans="1:3" x14ac:dyDescent="0.2">
      <c r="A43" s="3" t="str">
        <f>'Clean Data'!A43</f>
        <v>2010-04-01</v>
      </c>
      <c r="B43" s="8">
        <f>('Clean Data'!B43*1000000000)/'Clean Data'!H43</f>
        <v>6893797319.051054</v>
      </c>
      <c r="C43" s="8">
        <f>('Clean Data'!C43*1000000000)/'Clean Data'!H43</f>
        <v>3893381539.3851824</v>
      </c>
    </row>
    <row r="44" spans="1:3" x14ac:dyDescent="0.2">
      <c r="A44" s="3" t="str">
        <f>'Clean Data'!A44</f>
        <v>2010-07-01</v>
      </c>
      <c r="B44" s="8">
        <f>('Clean Data'!B44*1000000000)/'Clean Data'!H44</f>
        <v>6974561357.8846846</v>
      </c>
      <c r="C44" s="8">
        <f>('Clean Data'!C44*1000000000)/'Clean Data'!H44</f>
        <v>3896363752.28124</v>
      </c>
    </row>
    <row r="45" spans="1:3" x14ac:dyDescent="0.2">
      <c r="A45" s="3" t="str">
        <f>'Clean Data'!A45</f>
        <v>2010-10-01</v>
      </c>
      <c r="B45" s="8">
        <f>('Clean Data'!B45*1000000000)/'Clean Data'!H45</f>
        <v>7063807446.0810261</v>
      </c>
      <c r="C45" s="8">
        <f>('Clean Data'!C45*1000000000)/'Clean Data'!H45</f>
        <v>3939887531.1290288</v>
      </c>
    </row>
    <row r="46" spans="1:3" x14ac:dyDescent="0.2">
      <c r="A46" s="3" t="str">
        <f>'Clean Data'!A46</f>
        <v>2011-01-01</v>
      </c>
      <c r="B46" s="8">
        <f>('Clean Data'!B46*1000000000)/'Clean Data'!H46</f>
        <v>7143874481.885664</v>
      </c>
      <c r="C46" s="8">
        <f>('Clean Data'!C46*1000000000)/'Clean Data'!H46</f>
        <v>3979436709.2557235</v>
      </c>
    </row>
    <row r="47" spans="1:3" x14ac:dyDescent="0.2">
      <c r="A47" s="3" t="str">
        <f>'Clean Data'!A47</f>
        <v>2011-04-01</v>
      </c>
      <c r="B47" s="8">
        <f>('Clean Data'!B47*1000000000)/'Clean Data'!H47</f>
        <v>7223873919.6712999</v>
      </c>
      <c r="C47" s="8">
        <f>('Clean Data'!C47*1000000000)/'Clean Data'!H47</f>
        <v>4022065852.5324998</v>
      </c>
    </row>
    <row r="48" spans="1:3" x14ac:dyDescent="0.2">
      <c r="A48" s="3" t="str">
        <f>'Clean Data'!A48</f>
        <v>2011-07-01</v>
      </c>
      <c r="B48" s="8">
        <f>('Clean Data'!B48*1000000000)/'Clean Data'!H48</f>
        <v>7309934806.6111593</v>
      </c>
      <c r="C48" s="8">
        <f>('Clean Data'!C48*1000000000)/'Clean Data'!H48</f>
        <v>4064530687.4520221</v>
      </c>
    </row>
    <row r="49" spans="1:3" x14ac:dyDescent="0.2">
      <c r="A49" s="3" t="str">
        <f>'Clean Data'!A49</f>
        <v>2011-10-01</v>
      </c>
      <c r="B49" s="8">
        <f>('Clean Data'!B49*1000000000)/'Clean Data'!H49</f>
        <v>7392361828.007494</v>
      </c>
      <c r="C49" s="8">
        <f>('Clean Data'!C49*1000000000)/'Clean Data'!H49</f>
        <v>4105569819.0380964</v>
      </c>
    </row>
    <row r="50" spans="1:3" x14ac:dyDescent="0.2">
      <c r="A50" s="3" t="str">
        <f>'Clean Data'!A50</f>
        <v>2012-01-01</v>
      </c>
      <c r="B50" s="8">
        <f>('Clean Data'!B50*1000000000)/'Clean Data'!H50</f>
        <v>7480564104.9942808</v>
      </c>
      <c r="C50" s="8">
        <f>('Clean Data'!C50*1000000000)/'Clean Data'!H50</f>
        <v>4146569913.6945891</v>
      </c>
    </row>
    <row r="51" spans="1:3" x14ac:dyDescent="0.2">
      <c r="A51" s="3" t="str">
        <f>'Clean Data'!A51</f>
        <v>2012-04-01</v>
      </c>
      <c r="B51" s="8">
        <f>('Clean Data'!B51*1000000000)/'Clean Data'!H51</f>
        <v>7567714978.4367352</v>
      </c>
      <c r="C51" s="8">
        <f>('Clean Data'!C51*1000000000)/'Clean Data'!H51</f>
        <v>4191403947.698535</v>
      </c>
    </row>
    <row r="52" spans="1:3" x14ac:dyDescent="0.2">
      <c r="A52" s="3" t="str">
        <f>'Clean Data'!A52</f>
        <v>2012-07-01</v>
      </c>
      <c r="B52" s="8">
        <f>('Clean Data'!B52*1000000000)/'Clean Data'!H52</f>
        <v>7651670437.7994804</v>
      </c>
      <c r="C52" s="8">
        <f>('Clean Data'!C52*1000000000)/'Clean Data'!H52</f>
        <v>4234233410.756969</v>
      </c>
    </row>
    <row r="53" spans="1:3" x14ac:dyDescent="0.2">
      <c r="A53" s="3" t="str">
        <f>'Clean Data'!A53</f>
        <v>2012-10-01</v>
      </c>
      <c r="B53" s="8">
        <f>('Clean Data'!B53*1000000000)/'Clean Data'!H53</f>
        <v>7734554016.2047539</v>
      </c>
      <c r="C53" s="8">
        <f>('Clean Data'!C53*1000000000)/'Clean Data'!H53</f>
        <v>4276361761.4116168</v>
      </c>
    </row>
    <row r="54" spans="1:3" x14ac:dyDescent="0.2">
      <c r="A54" s="3" t="str">
        <f>'Clean Data'!A54</f>
        <v>2013-01-01</v>
      </c>
      <c r="B54" s="8">
        <f>('Clean Data'!B54*1000000000)/'Clean Data'!H54</f>
        <v>7816488487.0936184</v>
      </c>
      <c r="C54" s="8">
        <f>('Clean Data'!C54*1000000000)/'Clean Data'!H54</f>
        <v>4321685729.5341225</v>
      </c>
    </row>
    <row r="55" spans="1:3" x14ac:dyDescent="0.2">
      <c r="A55" s="3" t="str">
        <f>'Clean Data'!A55</f>
        <v>2013-04-01</v>
      </c>
      <c r="B55" s="8">
        <f>('Clean Data'!B55*1000000000)/'Clean Data'!H55</f>
        <v>7895324419.2422161</v>
      </c>
      <c r="C55" s="8">
        <f>('Clean Data'!C55*1000000000)/'Clean Data'!H55</f>
        <v>4364453232.4897795</v>
      </c>
    </row>
    <row r="56" spans="1:3" x14ac:dyDescent="0.2">
      <c r="A56" s="3" t="str">
        <f>'Clean Data'!A56</f>
        <v>2013-07-01</v>
      </c>
      <c r="B56" s="8">
        <f>('Clean Data'!B56*1000000000)/'Clean Data'!H56</f>
        <v>7974014994.8866577</v>
      </c>
      <c r="C56" s="8">
        <f>('Clean Data'!C56*1000000000)/'Clean Data'!H56</f>
        <v>4412340418.9645367</v>
      </c>
    </row>
    <row r="57" spans="1:3" x14ac:dyDescent="0.2">
      <c r="A57" s="3" t="str">
        <f>'Clean Data'!A57</f>
        <v>2013-10-01</v>
      </c>
      <c r="B57" s="8">
        <f>('Clean Data'!B57*1000000000)/'Clean Data'!H57</f>
        <v>8051990464.0443163</v>
      </c>
      <c r="C57" s="8">
        <f>('Clean Data'!C57*1000000000)/'Clean Data'!H57</f>
        <v>4458303848.666173</v>
      </c>
    </row>
    <row r="58" spans="1:3" x14ac:dyDescent="0.2">
      <c r="A58" s="3" t="str">
        <f>'Clean Data'!A58</f>
        <v>2014-01-01</v>
      </c>
      <c r="B58" s="8">
        <f>('Clean Data'!B58*1000000000)/'Clean Data'!H58</f>
        <v>8124472670.9418154</v>
      </c>
      <c r="C58" s="8">
        <f>('Clean Data'!C58*1000000000)/'Clean Data'!H58</f>
        <v>4504974079.2551765</v>
      </c>
    </row>
    <row r="59" spans="1:3" x14ac:dyDescent="0.2">
      <c r="A59" s="3" t="str">
        <f>'Clean Data'!A59</f>
        <v>2014-04-01</v>
      </c>
      <c r="B59" s="8">
        <f>('Clean Data'!B59*1000000000)/'Clean Data'!H59</f>
        <v>8200782858.4189463</v>
      </c>
      <c r="C59" s="8">
        <f>('Clean Data'!C59*1000000000)/'Clean Data'!H59</f>
        <v>4549408007.4304686</v>
      </c>
    </row>
    <row r="60" spans="1:3" x14ac:dyDescent="0.2">
      <c r="A60" s="3" t="str">
        <f>'Clean Data'!A60</f>
        <v>2014-07-01</v>
      </c>
      <c r="B60" s="8">
        <f>('Clean Data'!B60*1000000000)/'Clean Data'!H60</f>
        <v>8273929366.234992</v>
      </c>
      <c r="C60" s="8">
        <f>('Clean Data'!C60*1000000000)/'Clean Data'!H60</f>
        <v>4587793093.03689</v>
      </c>
    </row>
    <row r="61" spans="1:3" x14ac:dyDescent="0.2">
      <c r="A61" s="3" t="str">
        <f>'Clean Data'!A61</f>
        <v>2014-10-01</v>
      </c>
      <c r="B61" s="8">
        <f>('Clean Data'!B61*1000000000)/'Clean Data'!H61</f>
        <v>8344987048.078227</v>
      </c>
      <c r="C61" s="8">
        <f>('Clean Data'!C61*1000000000)/'Clean Data'!H61</f>
        <v>4630051867.1924801</v>
      </c>
    </row>
    <row r="62" spans="1:3" x14ac:dyDescent="0.2">
      <c r="A62" s="3" t="str">
        <f>'Clean Data'!A62</f>
        <v>2015-01-01</v>
      </c>
      <c r="B62" s="8">
        <f>('Clean Data'!B62*1000000000)/'Clean Data'!H62</f>
        <v>8424121331.6085567</v>
      </c>
      <c r="C62" s="8">
        <f>('Clean Data'!C62*1000000000)/'Clean Data'!H62</f>
        <v>4670393675.1934681</v>
      </c>
    </row>
    <row r="63" spans="1:3" x14ac:dyDescent="0.2">
      <c r="A63" s="3" t="str">
        <f>'Clean Data'!A63</f>
        <v>2015-04-01</v>
      </c>
      <c r="B63" s="8">
        <f>('Clean Data'!B63*1000000000)/'Clean Data'!H63</f>
        <v>8498753958.1491852</v>
      </c>
      <c r="C63" s="8">
        <f>('Clean Data'!C63*1000000000)/'Clean Data'!H63</f>
        <v>4712052173.3400555</v>
      </c>
    </row>
    <row r="64" spans="1:3" x14ac:dyDescent="0.2">
      <c r="A64" s="3" t="str">
        <f>'Clean Data'!A64</f>
        <v>2015-07-01</v>
      </c>
      <c r="B64" s="8">
        <f>('Clean Data'!B64*1000000000)/'Clean Data'!H64</f>
        <v>8580793264.791049</v>
      </c>
      <c r="C64" s="8">
        <f>('Clean Data'!C64*1000000000)/'Clean Data'!H64</f>
        <v>4759467144.9271393</v>
      </c>
    </row>
    <row r="65" spans="1:3" x14ac:dyDescent="0.2">
      <c r="A65" s="3" t="str">
        <f>'Clean Data'!A65</f>
        <v>2015-10-01</v>
      </c>
      <c r="B65" s="8">
        <f>('Clean Data'!B65*1000000000)/'Clean Data'!H65</f>
        <v>8667511457.9515381</v>
      </c>
      <c r="C65" s="8">
        <f>('Clean Data'!C65*1000000000)/'Clean Data'!H65</f>
        <v>4804579968.0928955</v>
      </c>
    </row>
    <row r="66" spans="1:3" x14ac:dyDescent="0.2">
      <c r="A66" s="3" t="str">
        <f>'Clean Data'!A66</f>
        <v>2016-01-01</v>
      </c>
      <c r="B66" s="8">
        <f>('Clean Data'!B66*1000000000)/'Clean Data'!H66</f>
        <v>8747462050.5876675</v>
      </c>
      <c r="C66" s="8">
        <f>('Clean Data'!C66*1000000000)/'Clean Data'!H66</f>
        <v>4851668222.8294277</v>
      </c>
    </row>
    <row r="67" spans="1:3" x14ac:dyDescent="0.2">
      <c r="A67" s="3" t="str">
        <f>'Clean Data'!A67</f>
        <v>2016-04-01</v>
      </c>
      <c r="B67" s="8">
        <f>('Clean Data'!B67*1000000000)/'Clean Data'!H67</f>
        <v>8837468877.0258465</v>
      </c>
      <c r="C67" s="8">
        <f>('Clean Data'!C67*1000000000)/'Clean Data'!H67</f>
        <v>4899790486.6730585</v>
      </c>
    </row>
    <row r="68" spans="1:3" x14ac:dyDescent="0.2">
      <c r="A68" s="3" t="str">
        <f>'Clean Data'!A68</f>
        <v>2016-07-01</v>
      </c>
      <c r="B68" s="8">
        <f>('Clean Data'!B68*1000000000)/'Clean Data'!H68</f>
        <v>8922385102.8409882</v>
      </c>
      <c r="C68" s="8">
        <f>('Clean Data'!C68*1000000000)/'Clean Data'!H68</f>
        <v>4947454126.3172379</v>
      </c>
    </row>
    <row r="69" spans="1:3" x14ac:dyDescent="0.2">
      <c r="A69" s="3" t="str">
        <f>'Clean Data'!A69</f>
        <v>2016-10-01</v>
      </c>
      <c r="B69" s="8">
        <f>('Clean Data'!B69*1000000000)/'Clean Data'!H69</f>
        <v>9007163679.0036964</v>
      </c>
      <c r="C69" s="8">
        <f>('Clean Data'!C69*1000000000)/'Clean Data'!H69</f>
        <v>4994536496.3401823</v>
      </c>
    </row>
    <row r="70" spans="1:3" x14ac:dyDescent="0.2">
      <c r="A70" s="3" t="str">
        <f>'Clean Data'!A70</f>
        <v>2017-01-01</v>
      </c>
      <c r="B70" s="8">
        <f>('Clean Data'!B70*1000000000)/'Clean Data'!H70</f>
        <v>9098344546.7270451</v>
      </c>
      <c r="C70" s="8">
        <f>('Clean Data'!C70*1000000000)/'Clean Data'!H70</f>
        <v>5043246308.3192911</v>
      </c>
    </row>
    <row r="71" spans="1:3" x14ac:dyDescent="0.2">
      <c r="A71" s="3" t="str">
        <f>'Clean Data'!A71</f>
        <v>2017-04-01</v>
      </c>
      <c r="B71" s="8">
        <f>('Clean Data'!B71*1000000000)/'Clean Data'!H71</f>
        <v>9186763746.3875408</v>
      </c>
      <c r="C71" s="8">
        <f>('Clean Data'!C71*1000000000)/'Clean Data'!H71</f>
        <v>5090522664.2494345</v>
      </c>
    </row>
    <row r="72" spans="1:3" x14ac:dyDescent="0.2">
      <c r="A72" s="3" t="str">
        <f>'Clean Data'!A72</f>
        <v>2017-07-01</v>
      </c>
      <c r="B72" s="8">
        <f>('Clean Data'!B72*1000000000)/'Clean Data'!H72</f>
        <v>9281038109.8697414</v>
      </c>
      <c r="C72" s="8">
        <f>('Clean Data'!C72*1000000000)/'Clean Data'!H72</f>
        <v>5142127341.1920757</v>
      </c>
    </row>
    <row r="73" spans="1:3" x14ac:dyDescent="0.2">
      <c r="A73" s="3" t="str">
        <f>'Clean Data'!A73</f>
        <v>2017-10-01</v>
      </c>
      <c r="B73" s="8">
        <f>('Clean Data'!B73*1000000000)/'Clean Data'!H73</f>
        <v>9376654664.3764935</v>
      </c>
      <c r="C73" s="8">
        <f>('Clean Data'!C73*1000000000)/'Clean Data'!H73</f>
        <v>5192412808.634861</v>
      </c>
    </row>
    <row r="74" spans="1:3" x14ac:dyDescent="0.2">
      <c r="A74" s="3" t="str">
        <f>'Clean Data'!A74</f>
        <v>2018-01-01</v>
      </c>
      <c r="B74" s="8">
        <f>('Clean Data'!B74*1000000000)/'Clean Data'!H74</f>
        <v>9472310553.4903431</v>
      </c>
      <c r="C74" s="8">
        <f>('Clean Data'!C74*1000000000)/'Clean Data'!H74</f>
        <v>5243384524.2162189</v>
      </c>
    </row>
    <row r="75" spans="1:3" x14ac:dyDescent="0.2">
      <c r="A75" s="3" t="str">
        <f>'Clean Data'!A75</f>
        <v>2018-04-01</v>
      </c>
      <c r="B75" s="8">
        <f>('Clean Data'!B75*1000000000)/'Clean Data'!H75</f>
        <v>9571269988.4721298</v>
      </c>
      <c r="C75" s="8">
        <f>('Clean Data'!C75*1000000000)/'Clean Data'!H75</f>
        <v>5301194291.0964041</v>
      </c>
    </row>
    <row r="76" spans="1:3" x14ac:dyDescent="0.2">
      <c r="A76" s="3" t="str">
        <f>'Clean Data'!A76</f>
        <v>2018-07-01</v>
      </c>
      <c r="B76" s="8">
        <f>('Clean Data'!B76*1000000000)/'Clean Data'!H76</f>
        <v>9670125830.9778137</v>
      </c>
      <c r="C76" s="8">
        <f>('Clean Data'!C76*1000000000)/'Clean Data'!H76</f>
        <v>5353331337.7745895</v>
      </c>
    </row>
    <row r="77" spans="1:3" x14ac:dyDescent="0.2">
      <c r="A77" s="3" t="str">
        <f>'Clean Data'!A77</f>
        <v>2018-10-01</v>
      </c>
      <c r="B77" s="8">
        <f>('Clean Data'!B77*1000000000)/'Clean Data'!H77</f>
        <v>9770623628.2916069</v>
      </c>
      <c r="C77" s="8">
        <f>('Clean Data'!C77*1000000000)/'Clean Data'!H77</f>
        <v>5416861226.7435522</v>
      </c>
    </row>
    <row r="78" spans="1:3" x14ac:dyDescent="0.2">
      <c r="A78" s="3" t="str">
        <f>'Clean Data'!A78</f>
        <v>2019-01-01</v>
      </c>
      <c r="B78" s="8">
        <f>('Clean Data'!B78*1000000000)/'Clean Data'!H78</f>
        <v>9869651076.0542259</v>
      </c>
      <c r="C78" s="8">
        <f>('Clean Data'!C78*1000000000)/'Clean Data'!H78</f>
        <v>5484277446.3934069</v>
      </c>
    </row>
    <row r="79" spans="1:3" x14ac:dyDescent="0.2">
      <c r="A79" s="3" t="str">
        <f>'Clean Data'!A79</f>
        <v>2019-04-01</v>
      </c>
      <c r="B79" s="8">
        <f>('Clean Data'!B79*1000000000)/'Clean Data'!H79</f>
        <v>9970371731.3797398</v>
      </c>
      <c r="C79" s="8">
        <f>('Clean Data'!C79*1000000000)/'Clean Data'!H79</f>
        <v>5549901224.5461016</v>
      </c>
    </row>
    <row r="80" spans="1:3" x14ac:dyDescent="0.2">
      <c r="A80" s="3" t="str">
        <f>'Clean Data'!A80</f>
        <v>2019-07-01</v>
      </c>
      <c r="B80" s="8">
        <f>('Clean Data'!B80*1000000000)/'Clean Data'!H80</f>
        <v>10064138144.720078</v>
      </c>
      <c r="C80" s="8">
        <f>('Clean Data'!C80*1000000000)/'Clean Data'!H80</f>
        <v>5563330885.6819448</v>
      </c>
    </row>
    <row r="81" spans="1:3" x14ac:dyDescent="0.2">
      <c r="A81" s="3" t="str">
        <f>'Clean Data'!A81</f>
        <v>2019-10-01</v>
      </c>
      <c r="B81" s="8">
        <f>('Clean Data'!B81*1000000000)/'Clean Data'!H81</f>
        <v>10148616625.905432</v>
      </c>
      <c r="C81" s="8">
        <f>('Clean Data'!C81*1000000000)/'Clean Data'!H81</f>
        <v>5615967868.199295</v>
      </c>
    </row>
    <row r="82" spans="1:3" x14ac:dyDescent="0.2">
      <c r="A82" s="3" t="str">
        <f>'Clean Data'!A82</f>
        <v>2020-01-01</v>
      </c>
      <c r="B82" s="8">
        <f>('Clean Data'!B82*1000000000)/'Clean Data'!H82</f>
        <v>10064106454.124647</v>
      </c>
      <c r="C82" s="8">
        <f>('Clean Data'!C82*1000000000)/'Clean Data'!H82</f>
        <v>5592418358.8379822</v>
      </c>
    </row>
    <row r="83" spans="1:3" x14ac:dyDescent="0.2">
      <c r="A83" s="3" t="str">
        <f>'Clean Data'!A83</f>
        <v>2020-04-01</v>
      </c>
      <c r="B83" s="8">
        <f>('Clean Data'!B83*1000000000)/'Clean Data'!H83</f>
        <v>9361314269.8473206</v>
      </c>
      <c r="C83" s="8">
        <f>('Clean Data'!C83*1000000000)/'Clean Data'!H83</f>
        <v>5214545061.6064672</v>
      </c>
    </row>
    <row r="84" spans="1:3" x14ac:dyDescent="0.2">
      <c r="A84" s="3" t="str">
        <f>'Clean Data'!A84</f>
        <v>2020-07-01</v>
      </c>
      <c r="B84" s="8">
        <f>('Clean Data'!B84*1000000000)/'Clean Data'!H84</f>
        <v>9647023824.9677372</v>
      </c>
      <c r="C84" s="8">
        <f>('Clean Data'!C84*1000000000)/'Clean Data'!H84</f>
        <v>5301269793.1241255</v>
      </c>
    </row>
    <row r="85" spans="1:3" x14ac:dyDescent="0.2">
      <c r="A85" s="3" t="str">
        <f>'Clean Data'!A85</f>
        <v>2020-10-01</v>
      </c>
      <c r="B85" s="8">
        <f>('Clean Data'!B85*1000000000)/'Clean Data'!H85</f>
        <v>9843690793.3277149</v>
      </c>
      <c r="C85" s="8">
        <f>('Clean Data'!C85*1000000000)/'Clean Data'!H85</f>
        <v>5342787903.6261358</v>
      </c>
    </row>
    <row r="86" spans="1:3" x14ac:dyDescent="0.2">
      <c r="A86" s="3" t="str">
        <f>'Clean Data'!A86</f>
        <v>2021-01-01</v>
      </c>
      <c r="B86" s="8">
        <f>('Clean Data'!B86*1000000000)/'Clean Data'!H86</f>
        <v>9927035259.5665932</v>
      </c>
      <c r="C86" s="8">
        <f>('Clean Data'!C86*1000000000)/'Clean Data'!H86</f>
        <v>5392301315.2574825</v>
      </c>
    </row>
    <row r="87" spans="1:3" x14ac:dyDescent="0.2">
      <c r="A87" s="3" t="str">
        <f>'Clean Data'!A87</f>
        <v>2021-04-01</v>
      </c>
      <c r="B87" s="8">
        <f>('Clean Data'!B87*1000000000)/'Clean Data'!H87</f>
        <v>9960272402.3469276</v>
      </c>
      <c r="C87" s="8">
        <f>('Clean Data'!C87*1000000000)/'Clean Data'!H87</f>
        <v>5432898337.1856413</v>
      </c>
    </row>
    <row r="88" spans="1:3" x14ac:dyDescent="0.2">
      <c r="A88" s="3" t="str">
        <f>'Clean Data'!A88</f>
        <v>2021-07-01</v>
      </c>
      <c r="B88" s="8">
        <f>('Clean Data'!B88*1000000000)/'Clean Data'!H88</f>
        <v>9964455119.4178429</v>
      </c>
      <c r="C88" s="8">
        <f>('Clean Data'!C88*1000000000)/'Clean Data'!H88</f>
        <v>5377874469.7096748</v>
      </c>
    </row>
    <row r="89" spans="1:3" x14ac:dyDescent="0.2">
      <c r="A89" s="3" t="str">
        <f>'Clean Data'!A89</f>
        <v>2021-10-01</v>
      </c>
      <c r="B89" s="8">
        <f>('Clean Data'!B89*1000000000)/'Clean Data'!H89</f>
        <v>10214628231.99296</v>
      </c>
      <c r="C89" s="8">
        <f>('Clean Data'!C89*1000000000)/'Clean Data'!H89</f>
        <v>5520252868.7096634</v>
      </c>
    </row>
    <row r="90" spans="1:3" x14ac:dyDescent="0.2">
      <c r="A90" s="3" t="str">
        <f>'Clean Data'!A90</f>
        <v>2022-01-01</v>
      </c>
      <c r="B90" s="8">
        <f>('Clean Data'!B90*1000000000)/'Clean Data'!H90</f>
        <v>10315509185.509596</v>
      </c>
      <c r="C90" s="8">
        <f>('Clean Data'!C90*1000000000)/'Clean Data'!H90</f>
        <v>5575211083.8623409</v>
      </c>
    </row>
    <row r="91" spans="1:3" x14ac:dyDescent="0.2">
      <c r="A91" s="3" t="str">
        <f>'Clean Data'!A91</f>
        <v>2022-04-01</v>
      </c>
      <c r="B91" s="8">
        <f>('Clean Data'!B91*1000000000)/'Clean Data'!H91</f>
        <v>10414365097.559345</v>
      </c>
      <c r="C91" s="8">
        <f>('Clean Data'!C91*1000000000)/'Clean Data'!H91</f>
        <v>5633962775.9515858</v>
      </c>
    </row>
    <row r="92" spans="1:3" x14ac:dyDescent="0.2">
      <c r="A92" s="3" t="str">
        <f>'Clean Data'!A92</f>
        <v>2022-07-01</v>
      </c>
      <c r="B92" s="8">
        <f>('Clean Data'!B92*1000000000)/'Clean Data'!H92</f>
        <v>10511158727.812218</v>
      </c>
      <c r="C92" s="8">
        <f>('Clean Data'!C92*1000000000)/'Clean Data'!H92</f>
        <v>5668503805.527895</v>
      </c>
    </row>
    <row r="93" spans="1:3" x14ac:dyDescent="0.2">
      <c r="A93" s="3" t="str">
        <f>'Clean Data'!A93</f>
        <v>2022-10-01</v>
      </c>
      <c r="B93" s="8">
        <f>('Clean Data'!B93*1000000000)/'Clean Data'!H93</f>
        <v>10622678148.82836</v>
      </c>
      <c r="C93" s="8">
        <f>('Clean Data'!C93*1000000000)/'Clean Data'!H93</f>
        <v>5744204473.2098494</v>
      </c>
    </row>
    <row r="94" spans="1:3" x14ac:dyDescent="0.2">
      <c r="A94" s="3" t="str">
        <f>'Clean Data'!A94</f>
        <v>2023-01-01</v>
      </c>
      <c r="B94" s="8">
        <f>('Clean Data'!B94*1000000000)/'Clean Data'!H94</f>
        <v>10728942035.85079</v>
      </c>
      <c r="C94" s="8">
        <f>('Clean Data'!C94*1000000000)/'Clean Data'!H94</f>
        <v>5787654125.776783</v>
      </c>
    </row>
    <row r="95" spans="1:3" x14ac:dyDescent="0.2">
      <c r="A95" s="3" t="str">
        <f>'Clean Data'!A95</f>
        <v>2023-04-01</v>
      </c>
      <c r="B95" s="8">
        <f>('Clean Data'!B95*1000000000)/'Clean Data'!H95</f>
        <v>10848042044.738113</v>
      </c>
      <c r="C95" s="8">
        <f>('Clean Data'!C95*1000000000)/'Clean Data'!H95</f>
        <v>5860742273.7623262</v>
      </c>
    </row>
    <row r="96" spans="1:3" x14ac:dyDescent="0.2">
      <c r="A96" s="3" t="str">
        <f>'Clean Data'!A96</f>
        <v>2023-07-01</v>
      </c>
      <c r="B96" s="8">
        <f>('Clean Data'!B96*1000000000)/'Clean Data'!H96</f>
        <v>10961764005.191504</v>
      </c>
      <c r="C96" s="8">
        <f>('Clean Data'!C96*1000000000)/'Clean Data'!H96</f>
        <v>5917879480.7585192</v>
      </c>
    </row>
    <row r="97" spans="1:3" x14ac:dyDescent="0.2">
      <c r="A97" s="3" t="str">
        <f>'Clean Data'!A97</f>
        <v>2023-10-01</v>
      </c>
      <c r="B97" s="8">
        <f>('Clean Data'!B97*1000000000)/'Clean Data'!H97</f>
        <v>11074247359.700607</v>
      </c>
      <c r="C97" s="8">
        <f>('Clean Data'!C97*1000000000)/'Clean Data'!H97</f>
        <v>5977142175.2584314</v>
      </c>
    </row>
    <row r="98" spans="1:3" x14ac:dyDescent="0.2">
      <c r="A98" s="3" t="str">
        <f>'Clean Data'!A98</f>
        <v>2024-01-01</v>
      </c>
      <c r="B98" s="8">
        <f>('Clean Data'!B98*1000000000)/'Clean Data'!H98</f>
        <v>11192880765.001596</v>
      </c>
      <c r="C98" s="8">
        <f>('Clean Data'!C98*1000000000)/'Clean Data'!H98</f>
        <v>6047257213.2180119</v>
      </c>
    </row>
    <row r="99" spans="1:3" x14ac:dyDescent="0.2">
      <c r="A99" s="3" t="str">
        <f>'Clean Data'!A99</f>
        <v>2024-04-01</v>
      </c>
      <c r="B99" s="8">
        <f>('Clean Data'!B99*1000000000)/'Clean Data'!H99</f>
        <v>11321050467.224298</v>
      </c>
      <c r="C99" s="8">
        <f>('Clean Data'!C99*1000000000)/'Clean Data'!H99</f>
        <v>6114278996.2370567</v>
      </c>
    </row>
    <row r="100" spans="1:3" x14ac:dyDescent="0.2">
      <c r="A100" s="3" t="str">
        <f>'Clean Data'!A100</f>
        <v>2024-07-01</v>
      </c>
      <c r="B100" s="8">
        <f>('Clean Data'!B100*1000000000)/'Clean Data'!H100</f>
        <v>11462015651.382351</v>
      </c>
      <c r="C100" s="8">
        <f>('Clean Data'!C100*1000000000)/'Clean Data'!H100</f>
        <v>6193453607.7304821</v>
      </c>
    </row>
    <row r="101" spans="1:3" x14ac:dyDescent="0.2">
      <c r="A101" s="3" t="str">
        <f>'Clean Data'!A101</f>
        <v>2024-10-01</v>
      </c>
      <c r="B101" s="8">
        <f>('Clean Data'!B101*1000000000)/'Clean Data'!H101</f>
        <v>11601063588.841106</v>
      </c>
      <c r="C101" s="8">
        <f>('Clean Data'!C101*1000000000)/'Clean Data'!H101</f>
        <v>6266997545.6556559</v>
      </c>
    </row>
    <row r="102" spans="1:3" x14ac:dyDescent="0.2">
      <c r="A102" s="3" t="str">
        <f>'Clean Data'!A102</f>
        <v>2025-01-01</v>
      </c>
      <c r="B102" s="8">
        <f>('Clean Data'!B102*1000000000)/'Clean Data'!H102</f>
        <v>11741117988.8995</v>
      </c>
      <c r="C102" s="8">
        <f>('Clean Data'!C102*1000000000)/'Clean Data'!H102</f>
        <v>6337730537.8125601</v>
      </c>
    </row>
    <row r="103" spans="1:3" x14ac:dyDescent="0.2">
      <c r="A103" s="3" t="str">
        <f>'Clean Data'!A103</f>
        <v>2025-04-01</v>
      </c>
      <c r="B103" s="8">
        <f>('Clean Data'!B103*1000000000)/'Clean Data'!H103</f>
        <v>11897818022.101265</v>
      </c>
      <c r="C103" s="8">
        <f>('Clean Data'!C103*1000000000)/'Clean Data'!H103</f>
        <v>6424308836.2728214</v>
      </c>
    </row>
    <row r="104" spans="1:3" x14ac:dyDescent="0.2">
      <c r="A104" s="3" t="str">
        <f>'Clean Data'!A104</f>
        <v>2025-07-01</v>
      </c>
      <c r="B104" s="8">
        <f>('Clean Data'!B104*1000000000)/'Clean Data'!H104</f>
        <v>12050682265.552956</v>
      </c>
      <c r="C104" s="8">
        <f>('Clean Data'!C104*1000000000)/'Clean Data'!H104</f>
        <v>6501177728.4444609</v>
      </c>
    </row>
    <row r="105" spans="1:3" x14ac:dyDescent="0.2">
      <c r="A105" s="3" t="str">
        <f>'Clean Data'!A105</f>
        <v>2025-10-01</v>
      </c>
      <c r="B105" s="8">
        <f>('Clean Data'!B105*1000000000)/'Clean Data'!H105</f>
        <v>12215506474.594856</v>
      </c>
      <c r="C105" s="8">
        <f>('Clean Data'!C105*1000000000)/'Clean Data'!H105</f>
        <v>6585595933.5355272</v>
      </c>
    </row>
    <row r="106" spans="1:3" x14ac:dyDescent="0.2">
      <c r="A106" s="3" t="str">
        <f>'Clean Data'!A106</f>
        <v>2026-01-01</v>
      </c>
      <c r="B106" s="8">
        <f>('Clean Data'!B106*1000000000)/'Clean Data'!H106</f>
        <v>12382477743.646872</v>
      </c>
      <c r="C106" s="8">
        <f>('Clean Data'!C106*1000000000)/'Clean Data'!H106</f>
        <v>6671597378.5141487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Normal="100" workbookViewId="0">
      <selection activeCell="V24" sqref="V24"/>
    </sheetView>
  </sheetViews>
  <sheetFormatPr baseColWidth="10" defaultColWidth="8.6640625" defaultRowHeight="15" customHeight="1" x14ac:dyDescent="0.2"/>
  <sheetData>
    <row r="1" spans="1:1" x14ac:dyDescent="0.2">
      <c r="A1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zoomScaleNormal="100" workbookViewId="0">
      <selection activeCell="E10" sqref="E10"/>
    </sheetView>
  </sheetViews>
  <sheetFormatPr baseColWidth="10" defaultColWidth="8.6640625" defaultRowHeight="15" customHeight="1" x14ac:dyDescent="0.2"/>
  <sheetData>
    <row r="1" spans="1:1" x14ac:dyDescent="0.2">
      <c r="A1" t="s">
        <v>120</v>
      </c>
    </row>
    <row r="2" spans="1:1" x14ac:dyDescent="0.2">
      <c r="A2" t="s">
        <v>118</v>
      </c>
    </row>
    <row r="3" spans="1:1" x14ac:dyDescent="0.2">
      <c r="A3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 Data</vt:lpstr>
      <vt:lpstr>Growth Rates</vt:lpstr>
      <vt:lpstr>Expenditure Shares</vt:lpstr>
      <vt:lpstr>Contributions</vt:lpstr>
      <vt:lpstr>Correlations</vt:lpstr>
      <vt:lpstr>Welfare Indicators</vt:lpstr>
      <vt:lpstr>Dashboard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hoshi</cp:lastModifiedBy>
  <cp:revision>0</cp:revision>
  <dcterms:created xsi:type="dcterms:W3CDTF">2026-06-22T08:32:27Z</dcterms:created>
  <dcterms:modified xsi:type="dcterms:W3CDTF">2026-06-22T08:39:24Z</dcterms:modified>
  <dc:language>en-US</dc:language>
</cp:coreProperties>
</file>